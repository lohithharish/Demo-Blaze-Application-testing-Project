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ohith MH\OneDrive\Desktop\Demo Blaze\05_Executed test cases\"/>
    </mc:Choice>
  </mc:AlternateContent>
  <xr:revisionPtr revIDLastSave="0" documentId="13_ncr:1_{0260D8E8-F3A7-47A1-8B31-E7EBEB6CB73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About Us Test Cas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8" i="1" l="1"/>
  <c r="B87" i="1"/>
  <c r="B86" i="1"/>
  <c r="B85" i="1"/>
  <c r="B84" i="1"/>
  <c r="B83" i="1"/>
  <c r="B82" i="1"/>
  <c r="B81" i="1"/>
  <c r="B89" i="1" l="1"/>
</calcChain>
</file>

<file path=xl/sharedStrings.xml><?xml version="1.0" encoding="utf-8"?>
<sst xmlns="http://schemas.openxmlformats.org/spreadsheetml/2006/main" count="646" uniqueCount="434">
  <si>
    <t>Test Scenario ID</t>
  </si>
  <si>
    <t>TS_010</t>
  </si>
  <si>
    <t>Test Scenario Name</t>
  </si>
  <si>
    <t>Validate About Us Page Functionality</t>
  </si>
  <si>
    <t>Project</t>
  </si>
  <si>
    <t>DemoBlaze Product Store</t>
  </si>
  <si>
    <t>Module</t>
  </si>
  <si>
    <t>About Us Page</t>
  </si>
  <si>
    <t>Created By</t>
  </si>
  <si>
    <t>MH Lohith</t>
  </si>
  <si>
    <t>Creation Date</t>
  </si>
  <si>
    <t>Priority</t>
  </si>
  <si>
    <t>P1 - High</t>
  </si>
  <si>
    <t>Execution Date</t>
  </si>
  <si>
    <t>13-03-2026</t>
  </si>
  <si>
    <t>Test Case ID</t>
  </si>
  <si>
    <t>Test Case Description</t>
  </si>
  <si>
    <t>Test Steps</t>
  </si>
  <si>
    <t>Test Data</t>
  </si>
  <si>
    <t>Expected Result</t>
  </si>
  <si>
    <t>Actual Result</t>
  </si>
  <si>
    <t>Status</t>
  </si>
  <si>
    <t>Remarks</t>
  </si>
  <si>
    <t>TC_AU_001</t>
  </si>
  <si>
    <t>Verify About us link in navigation</t>
  </si>
  <si>
    <t>1. Navigate to home page
2. Check navigation bar
3. Locate 'About us' link</t>
  </si>
  <si>
    <t>N/A</t>
  </si>
  <si>
    <t>1. 'About us' link visible in navigation bar
2. Link styled consistently
3. Link is clickable</t>
  </si>
  <si>
    <t>'About us' link present in the navbar between 'Contact' and 'Cart'; consistently styled as a Bootstrap nav-link (white text, matching font); link is clickable and correctly triggers the About us modal on click</t>
  </si>
  <si>
    <t>Pass</t>
  </si>
  <si>
    <t>P0</t>
  </si>
  <si>
    <t>Nav link</t>
  </si>
  <si>
    <t>TC_AU_002</t>
  </si>
  <si>
    <t>Verify About us modal opens</t>
  </si>
  <si>
    <t>1. Click 'About us' in navigation
2. Observe modal</t>
  </si>
  <si>
    <t>1. Modal opens immediately
2. Centered on screen
3. Background dimmed</t>
  </si>
  <si>
    <t>Clicking 'About us' opens a Bootstrap 3 modal within ~150 ms; modal is centred horizontally and vertically on screen; Bootstrap modal-backdrop (grey overlay) dims the background; modal content (title, image, Close button) visible immediately on open</t>
  </si>
  <si>
    <t>Modal opens</t>
  </si>
  <si>
    <t>TC_AU_003</t>
  </si>
  <si>
    <t>Verify modal title</t>
  </si>
  <si>
    <t>1. Click 'About us'
2. Check header</t>
  </si>
  <si>
    <t>Modal displays 'About us' title</t>
  </si>
  <si>
    <t>Modal header displays exactly 'About us' as the title text; rendered in Bootstrap modal-title (h5) styling; correctly positioned in the modal header bar with the × icon on the right</t>
  </si>
  <si>
    <t>Title</t>
  </si>
  <si>
    <t>TC_AU_004</t>
  </si>
  <si>
    <t>Verify Close button</t>
  </si>
  <si>
    <t>1. Open modal
2. Check for Close button</t>
  </si>
  <si>
    <t>'Close' button visible at bottom</t>
  </si>
  <si>
    <t>'Close' button present and visible in the modal footer; styled as Bootstrap btn-secondary (grey); labelled 'Close'; properly positioned and accessible</t>
  </si>
  <si>
    <t>Close button</t>
  </si>
  <si>
    <t>TC_AU_005</t>
  </si>
  <si>
    <t>Verify X icon</t>
  </si>
  <si>
    <t>1. Open modal
2. Check top-right</t>
  </si>
  <si>
    <t>X close icon visible</t>
  </si>
  <si>
    <t>'×' close icon visible in the top-right corner of the modal header; Bootstrap default (aria-label='Close'); clearly visible and clickable</t>
  </si>
  <si>
    <t>X icon</t>
  </si>
  <si>
    <t>TC_AU_006</t>
  </si>
  <si>
    <t>Verify modal size</t>
  </si>
  <si>
    <t>1. Open modal
2. Check dimensions</t>
  </si>
  <si>
    <t>Modal sized appropriately, content fits</t>
  </si>
  <si>
    <t>Modal sized appropriately: ~600 px wide on desktop; height adjusts to fit the static image (front.jpg) plus header/footer; modal does not overflow the viewport on any tested resolution</t>
  </si>
  <si>
    <t>P1</t>
  </si>
  <si>
    <t>Sizing</t>
  </si>
  <si>
    <t>TC_AU_007</t>
  </si>
  <si>
    <t>Verify modal styling</t>
  </si>
  <si>
    <t>1. Open modal
2. Check appearance</t>
  </si>
  <si>
    <t>Professional styling, proper spacing</t>
  </si>
  <si>
    <t>Modal uses standard Bootstrap 3 styling: white background, rounded corners, clear header/body/footer sections, proper padding and spacing; professional and consistent layout throughout</t>
  </si>
  <si>
    <t>Design</t>
  </si>
  <si>
    <t>TC_AU_008</t>
  </si>
  <si>
    <t>Verify background overlay</t>
  </si>
  <si>
    <t>1. Open modal
2. Check background</t>
  </si>
  <si>
    <t>Background dimmed, overlay prevents clicks</t>
  </si>
  <si>
    <t>Bootstrap modal-backdrop applied on open — background is dimmed; clicking on the dimmed backdrop area outside the modal closes it (Bootstrap 3 default); background page interactions blocked while modal is open</t>
  </si>
  <si>
    <t>Overlay</t>
  </si>
  <si>
    <t>TC_AU_009</t>
  </si>
  <si>
    <t>Verify video player present</t>
  </si>
  <si>
    <t>1. Open About us
2. Check for video</t>
  </si>
  <si>
    <t>Video player visible with play button</t>
  </si>
  <si>
    <t>Fail</t>
  </si>
  <si>
    <t>Video presence</t>
  </si>
  <si>
    <t>TC_AU_010</t>
  </si>
  <si>
    <t>Verify play button</t>
  </si>
  <si>
    <t>1. Open modal
2. Check video</t>
  </si>
  <si>
    <t>Play button visible on video</t>
  </si>
  <si>
    <t>Play button</t>
  </si>
  <si>
    <t>TC_AU_011</t>
  </si>
  <si>
    <t>Verify video plays</t>
  </si>
  <si>
    <t>1. Open modal
2. Click play
3. Watch video</t>
  </si>
  <si>
    <t>1. Video plays
2. Audio audible
3. Smooth playback</t>
  </si>
  <si>
    <t>Video playback</t>
  </si>
  <si>
    <t>TC_AU_012</t>
  </si>
  <si>
    <t>Verify pause functionality</t>
  </si>
  <si>
    <t>1. Play video
2. Click pause</t>
  </si>
  <si>
    <t>Video pauses, can resume</t>
  </si>
  <si>
    <t>Pause</t>
  </si>
  <si>
    <t>TC_AU_013</t>
  </si>
  <si>
    <t>Verify video controls</t>
  </si>
  <si>
    <t>1. Play video
2. Check controls</t>
  </si>
  <si>
    <t>Controls visible: play/pause, timeline, volume, fullscreen</t>
  </si>
  <si>
    <t>Video controls</t>
  </si>
  <si>
    <t>TC_AU_014</t>
  </si>
  <si>
    <t>Verify volume control</t>
  </si>
  <si>
    <t>1. Play video
2. Adjust volume
3. Test mute</t>
  </si>
  <si>
    <t>Volume adjustable, mute works</t>
  </si>
  <si>
    <t>Volume</t>
  </si>
  <si>
    <t>TC_AU_015</t>
  </si>
  <si>
    <t>Verify timeline/scrubbing</t>
  </si>
  <si>
    <t>1. Play video
2. Click timeline
3. Drag scrubber</t>
  </si>
  <si>
    <t>Can skip to any point in video</t>
  </si>
  <si>
    <t>Timeline</t>
  </si>
  <si>
    <t>TC_AU_016</t>
  </si>
  <si>
    <t>Verify fullscreen mode</t>
  </si>
  <si>
    <t>1. Play video
2. Click fullscreen</t>
  </si>
  <si>
    <t>Video plays in fullscreen, exit works</t>
  </si>
  <si>
    <t>Fullscreen</t>
  </si>
  <si>
    <t>TC_AU_017</t>
  </si>
  <si>
    <t>Verify video quality</t>
  </si>
  <si>
    <t>1. Play video
2. Check quality</t>
  </si>
  <si>
    <t>Video clear, good resolution, no pixelation</t>
  </si>
  <si>
    <t>Quality</t>
  </si>
  <si>
    <t>TC_AU_018</t>
  </si>
  <si>
    <t>Verify video loads</t>
  </si>
  <si>
    <t>1. Open modal
2. Wait for video load</t>
  </si>
  <si>
    <t>Video loads within 3 seconds</t>
  </si>
  <si>
    <t>Load time</t>
  </si>
  <si>
    <t>TC_AU_019</t>
  </si>
  <si>
    <t>Verify video stops on modal close</t>
  </si>
  <si>
    <t>1. Play video
2. Close modal</t>
  </si>
  <si>
    <t>Video stops when modal closed</t>
  </si>
  <si>
    <t>Stop on close</t>
  </si>
  <si>
    <t>TC_AU_020</t>
  </si>
  <si>
    <t>Verify video restarts</t>
  </si>
  <si>
    <t>1. Play video
2. Close modal
3. Reopen</t>
  </si>
  <si>
    <t>Video resets to beginning</t>
  </si>
  <si>
    <t>Video restart on reopen not applicable — no video in modal. Reopening shows the static image in its default display state. No video state to reset. Expected: video resets to beginning on reopen. Actual: no video implemented.</t>
  </si>
  <si>
    <t>Reset</t>
  </si>
  <si>
    <t>TC_AU_021</t>
  </si>
  <si>
    <t>Verify video aspect ratio</t>
  </si>
  <si>
    <t>1. Play video
2. Check proportions</t>
  </si>
  <si>
    <t>Video maintains correct aspect ratio</t>
  </si>
  <si>
    <t>Aspect ratio</t>
  </si>
  <si>
    <t>TC_AU_022</t>
  </si>
  <si>
    <t>Verify video on mobile</t>
  </si>
  <si>
    <t>1. Open on mobile
2. Play video</t>
  </si>
  <si>
    <t>Mobile device</t>
  </si>
  <si>
    <t>Video plays on mobile, touch controls work</t>
  </si>
  <si>
    <t>Mobile video</t>
  </si>
  <si>
    <t>TC_AU_026</t>
  </si>
  <si>
    <t>Verify cart icons displayed</t>
  </si>
  <si>
    <t>1. Open About us
2. Check cart icons</t>
  </si>
  <si>
    <t>Shopping cart icons visible</t>
  </si>
  <si>
    <t>Cart icons</t>
  </si>
  <si>
    <t>TC_AU_028</t>
  </si>
  <si>
    <t>Verify icon styling</t>
  </si>
  <si>
    <t>1. Open modal
2. Check icon design</t>
  </si>
  <si>
    <t>Icons white/outlined, consistent style</t>
  </si>
  <si>
    <t>No icon styling to verify — no icons exist in the About us modal. Expected: white/outlined consistent icon styling. Actual: no icons present anywhere in the modal.</t>
  </si>
  <si>
    <t>Icon design</t>
  </si>
  <si>
    <t>TC_AU_029</t>
  </si>
  <si>
    <t>Verify icons don't overlap video</t>
  </si>
  <si>
    <t>1. Play video
2. Check icons</t>
  </si>
  <si>
    <t>Icons don't interfere with video playback</t>
  </si>
  <si>
    <t>No overlap</t>
  </si>
  <si>
    <t>TC_AU_030</t>
  </si>
  <si>
    <t>Verify background color</t>
  </si>
  <si>
    <t>Blue gradient background visible</t>
  </si>
  <si>
    <t>Modal background colour is standard Bootstrap white — no blue gradient or custom background colour applied to the modal body or content area. Expected: blue gradient background visible. Actual: plain white Bootstrap modal background only.</t>
  </si>
  <si>
    <t>Background</t>
  </si>
  <si>
    <t>TC_AU_031</t>
  </si>
  <si>
    <t>Verify icons are decorative</t>
  </si>
  <si>
    <t>1. Open modal
2. Try clicking icons</t>
  </si>
  <si>
    <t>Icons are decorative, non-interactive</t>
  </si>
  <si>
    <t>No decorative icons in About us modal to test interactivity. Modal contains only static promotional image (front.jpg). Expected: non-interactive decorative icons present. Actual: no icons of any type in the modal.</t>
  </si>
  <si>
    <t>P2</t>
  </si>
  <si>
    <t>Decorative only</t>
  </si>
  <si>
    <t>TC_AU_032</t>
  </si>
  <si>
    <t>Verify Close button closes modal</t>
  </si>
  <si>
    <t>1. Open About us
2. Click Close button</t>
  </si>
  <si>
    <t>Modal closes, returns to previous page</t>
  </si>
  <si>
    <t>Clicking 'Close' button in modal footer closes modal immediately with Bootstrap fade animation; page returns to previous state; all page content visible; modal correctly dismissed</t>
  </si>
  <si>
    <t>TC_AU_033</t>
  </si>
  <si>
    <t>Verify X icon closes modal</t>
  </si>
  <si>
    <t>1. Open modal
2. Click X icon</t>
  </si>
  <si>
    <t>Modal closes immediately</t>
  </si>
  <si>
    <t>Clicking '×' icon in top-right of modal header closes modal immediately; same Bootstrap fade animation as Close button; modal dismissed correctly</t>
  </si>
  <si>
    <t>X close</t>
  </si>
  <si>
    <t>TC_AU_034</t>
  </si>
  <si>
    <t>Verify clicking outside modal</t>
  </si>
  <si>
    <t>1. Open modal
2. Click dimmed background</t>
  </si>
  <si>
    <t>Modal closes OR remains open based on design</t>
  </si>
  <si>
    <t>Clicking on the dimmed Bootstrap backdrop area outside modal body closes modal immediately — Bootstrap 3 default backdrop dismiss confirmed; user returned to page</t>
  </si>
  <si>
    <t>Click outside</t>
  </si>
  <si>
    <t>TC_AU_035</t>
  </si>
  <si>
    <t>Verify ESC key closes modal</t>
  </si>
  <si>
    <t>1. Open modal
2. Press ESC key</t>
  </si>
  <si>
    <t>ESC key closes modal</t>
  </si>
  <si>
    <t>Pressing ESC key while About us modal is open closes the modal immediately — Bootstrap 3 keyboard dismiss confirmed; page returns to previous state</t>
  </si>
  <si>
    <t>ESC key</t>
  </si>
  <si>
    <t>TC_AU_036</t>
  </si>
  <si>
    <t>Verify Close button styling</t>
  </si>
  <si>
    <t>1. Open modal
2. Check Close button</t>
  </si>
  <si>
    <t>Button properly styled, visible</t>
  </si>
  <si>
    <t>'Close' button styled as Bootstrap btn-secondary (grey); text 'Close' clearly readable; button visible and accessible in modal footer</t>
  </si>
  <si>
    <t>Button styling</t>
  </si>
  <si>
    <t>TC_AU_037</t>
  </si>
  <si>
    <t>Verify hover effect on Close</t>
  </si>
  <si>
    <t>1. Hover over Close button</t>
  </si>
  <si>
    <t>Hover effect visible</t>
  </si>
  <si>
    <t>'Close' button shows hover effect: background darkens to Bootstrap btn-secondary hover state on mouse-over; cursor changes to pointer; visual hover feedback present and working</t>
  </si>
  <si>
    <t>Hover effect</t>
  </si>
  <si>
    <t>TC_AU_038</t>
  </si>
  <si>
    <t>Verify video stops on close</t>
  </si>
  <si>
    <t>1. Play video
2. Click Close</t>
  </si>
  <si>
    <t>Video stops playing when modal closes</t>
  </si>
  <si>
    <t>Video stops</t>
  </si>
  <si>
    <t>TC_AU_039</t>
  </si>
  <si>
    <t>Verify modal state after close</t>
  </si>
  <si>
    <t>1. Close modal
2. Reopen
3. Check state</t>
  </si>
  <si>
    <t>Modal resets to initial state</t>
  </si>
  <si>
    <t>Closing and reopening About us modal shows consistent initial state on every open: 'About us' title, front.jpg image fully visible, Close button accessible; state identical on every reopen</t>
  </si>
  <si>
    <t>Reset state</t>
  </si>
  <si>
    <t>TC_AU_040</t>
  </si>
  <si>
    <t>Verify modal on desktop</t>
  </si>
  <si>
    <t>1. Open on desktop (1920x1080)
2. Check modal</t>
  </si>
  <si>
    <t>Resolution: 1920x1080</t>
  </si>
  <si>
    <t>Modal displays properly on desktop</t>
  </si>
  <si>
    <t>Desktop 1920x1080: About us modal centred on screen; front.jpg image fills modal body at full width; header/footer clearly visible; no overflow; backdrop covers full viewport</t>
  </si>
  <si>
    <t>Desktop</t>
  </si>
  <si>
    <t>TC_AU_041</t>
  </si>
  <si>
    <t>Verify modal on laptop</t>
  </si>
  <si>
    <t>1. Open on laptop (1366x768)
2. Check modal</t>
  </si>
  <si>
    <t>Resolution: 1366x768</t>
  </si>
  <si>
    <t>Modal fits laptop screen</t>
  </si>
  <si>
    <t>Laptop 1366x768: modal fits comfortably within viewport; image scaled to modal width; all elements visible; no scrolling required within modal</t>
  </si>
  <si>
    <t>Laptop</t>
  </si>
  <si>
    <t>TC_AU_042</t>
  </si>
  <si>
    <t>Verify modal on tablet</t>
  </si>
  <si>
    <t>1. Open on tablet
2. Check modal</t>
  </si>
  <si>
    <t>Resolution: 768x1024</t>
  </si>
  <si>
    <t>Modal responsive on tablet</t>
  </si>
  <si>
    <t>Tablet 768x1024: Bootstrap responsive modal scales correctly; image fills modal body width at tablet size; Close and × accessible by touch; modal body scrollable if needed</t>
  </si>
  <si>
    <t>Tablet</t>
  </si>
  <si>
    <t>TC_AU_043</t>
  </si>
  <si>
    <t>Verify modal on mobile</t>
  </si>
  <si>
    <t>1. Open on mobile (375x667)
2. Check modal</t>
  </si>
  <si>
    <t>Resolution: 375x667</t>
  </si>
  <si>
    <t>Modal fits mobile screen, video plays</t>
  </si>
  <si>
    <t>Mobile</t>
  </si>
  <si>
    <t>TC_AU_044</t>
  </si>
  <si>
    <t>Verify video on small screens</t>
  </si>
  <si>
    <t>1. Open on 320px width
2. Play video</t>
  </si>
  <si>
    <t>Resolution: 320px</t>
  </si>
  <si>
    <t>Video scales appropriately</t>
  </si>
  <si>
    <t>Video scaling on small screens not applicable — no video in modal. Static image (front.jpg) scales correctly on 320 px width via Bootstrap responsive classes (d-block w-100). Expected: video scales appropriately on small screen. Actual: no video; image scales correctly.</t>
  </si>
  <si>
    <t>Small screen</t>
  </si>
  <si>
    <t>TC_AU_045</t>
  </si>
  <si>
    <t>Verify scrolling on small screens</t>
  </si>
  <si>
    <t>1. Open on mobile
2. Check if scrollable</t>
  </si>
  <si>
    <t>Modal scrollable if content exceeds screen</t>
  </si>
  <si>
    <t>On mobile (375x667): modal content (image + header + footer) fits within viewport height without requiring internal scroll; on very small heights (landscape mobile) modal body becomes scrollable as Bootstrap handles overflow-y correctly</t>
  </si>
  <si>
    <t>Scrolling</t>
  </si>
  <si>
    <t>TC_AU_046</t>
  </si>
  <si>
    <t>Verify touch controls on mobile</t>
  </si>
  <si>
    <t>1. Open on mobile
2. Test touch</t>
  </si>
  <si>
    <t>Touch to play/pause video works</t>
  </si>
  <si>
    <t>Touch controls on mobile: tapping Close button and × icon work correctly on touch devices; backdrop tap closes modal; touch targets adequate size. NOTE: no touch video controls to test (no video). All available touch interactions work correctly.</t>
  </si>
  <si>
    <t>Touch controls</t>
  </si>
  <si>
    <t>TC_AU_047</t>
  </si>
  <si>
    <t>Verify orientation change</t>
  </si>
  <si>
    <t>1. Open modal
2. Rotate device</t>
  </si>
  <si>
    <t>Mobile/Tablet</t>
  </si>
  <si>
    <t>Modal adapts to portrait/landscape</t>
  </si>
  <si>
    <t>Orientation change (portrait to landscape) on mobile: About us modal correctly reflows on rotation; Bootstrap responsive layout adapts; image re-scales to fit; Close button accessible in both orientations</t>
  </si>
  <si>
    <t>Orientation</t>
  </si>
  <si>
    <t>TC_AU_048</t>
  </si>
  <si>
    <t>Verify About us on Chrome</t>
  </si>
  <si>
    <t>1. Open Chrome
2. Test About us</t>
  </si>
  <si>
    <t>Chrome</t>
  </si>
  <si>
    <t>All functionality works on Chrome</t>
  </si>
  <si>
    <t>Chrome 123: About us modal opens correctly; front.jpg loads and renders; all close mechanisms (Close, ×, ESC, backdrop) work; no Chrome-specific rendering or JS issues</t>
  </si>
  <si>
    <t>TC_AU_049</t>
  </si>
  <si>
    <t>Verify About us on Firefox</t>
  </si>
  <si>
    <t>1. Open Firefox
2. Test About us</t>
  </si>
  <si>
    <t>Firefox</t>
  </si>
  <si>
    <t>All functionality works on Firefox</t>
  </si>
  <si>
    <t>Firefox 124: modal opens and renders correctly; image displays without issues; all close mechanisms functional; no Firefox-specific problems</t>
  </si>
  <si>
    <t>TC_AU_050</t>
  </si>
  <si>
    <t>Verify About us on Safari</t>
  </si>
  <si>
    <t>1. Open Safari
2. Test About us</t>
  </si>
  <si>
    <t>Safari</t>
  </si>
  <si>
    <t>All functionality works on Safari</t>
  </si>
  <si>
    <t>Safari 17 (macOS): Bootstrap modal renders correctly under WebKit; image loads and displays; all close mechanisms work including ESC; no Safari-specific issues</t>
  </si>
  <si>
    <t>TC_AU_051</t>
  </si>
  <si>
    <t>Verify About us on Edge</t>
  </si>
  <si>
    <t>1. Open Edge
2. Test About us</t>
  </si>
  <si>
    <t>Edge</t>
  </si>
  <si>
    <t>All functionality works on Edge</t>
  </si>
  <si>
    <t>Edge 123 (Chromium): behaviour identical to Chrome (same Blink engine); modal renders and functions correctly; no Edge-specific issues</t>
  </si>
  <si>
    <t>TC_AU_052</t>
  </si>
  <si>
    <t>Verify modal load time</t>
  </si>
  <si>
    <t>1. Click About us
2. Measure time</t>
  </si>
  <si>
    <t>Modal opens within 500ms</t>
  </si>
  <si>
    <t>About us modal opens within ~150 ms on click (measured via DevTools); Bootstrap CSS fade animation adds ~300 ms to perceived open time; total well within the 500 ms target</t>
  </si>
  <si>
    <t>Load speed</t>
  </si>
  <si>
    <t>TC_AU_053</t>
  </si>
  <si>
    <t>Verify video buffer time</t>
  </si>
  <si>
    <t>1. Play video
2. Check buffering</t>
  </si>
  <si>
    <t>Video buffers quickly, minimal wait</t>
  </si>
  <si>
    <t>Buffering</t>
  </si>
  <si>
    <t>TC_AU_054</t>
  </si>
  <si>
    <t>Verify video on slow connection</t>
  </si>
  <si>
    <t>1. Throttle to 3G
2. Play video</t>
  </si>
  <si>
    <t>3G network</t>
  </si>
  <si>
    <t>Video plays OR shows loading indicator</t>
  </si>
  <si>
    <t>Video on slow connection not applicable — no video in modal. On simulated Slow 3G, front.jpg loads in ~2–3 s; no loading indicator shown but image file is small enough that delay is minimal. Expected: video plays or shows loading indicator. Actual: no video; static image loads.</t>
  </si>
  <si>
    <t>Slow network</t>
  </si>
  <si>
    <t>TC_AU_055</t>
  </si>
  <si>
    <t>Verify multiple open/close</t>
  </si>
  <si>
    <t>1. Open modal
2. Close
3. Repeat 10 times</t>
  </si>
  <si>
    <t>No performance degradation, no memory leak</t>
  </si>
  <si>
    <t>Opened and closed About us modal 20 consecutive times; no performance degradation; modal opens at consistent speed throughout; no memory leak symptoms in Chrome DevTools Memory tab; browser memory stable</t>
  </si>
  <si>
    <t>Performance</t>
  </si>
  <si>
    <t>TC_AU_057</t>
  </si>
  <si>
    <t>Verify keyboard navigation</t>
  </si>
  <si>
    <t>1. Tab to About us
2. Press Enter
3. Tab to Close</t>
  </si>
  <si>
    <t>1. Can open with keyboard
2. Can close with keyboard
3. Focus visible</t>
  </si>
  <si>
    <t>Keyboard navigation: 'About us' navbar link reachable via Tab; pressing Enter opens modal; Tab within modal cycles between × and Close button; Enter on either closes modal; focus returns to 'About us' link after close; keyboard navigation fully functional</t>
  </si>
  <si>
    <t>Keyboard</t>
  </si>
  <si>
    <t>TC_AU_058</t>
  </si>
  <si>
    <t>Verify screen reader</t>
  </si>
  <si>
    <t>1. Enable screen reader
2. Navigate modal</t>
  </si>
  <si>
    <t>Screen reader</t>
  </si>
  <si>
    <t>Modal announced, video controls announced</t>
  </si>
  <si>
    <t>Screen reader (VoiceOver on Safari): modal announced as dialog labelled 'About us'; × button announced as 'Close' (aria-label present); static image announced with empty alt text (nothing read — a11y gap); Close button correctly announced; partial screen reader support — image lacks descriptive alt text for screen reader users</t>
  </si>
  <si>
    <t>TC_AU_059</t>
  </si>
  <si>
    <t>Verify focus trap</t>
  </si>
  <si>
    <t>1. Open modal
2. Tab through</t>
  </si>
  <si>
    <t>Focus stays within modal, doesn't escape</t>
  </si>
  <si>
    <t>Focus trap within modal: while About us modal is open, Tab cycles only between the × icon and 'Close' button; focus does not escape to page background; Bootstrap 3 focus trap functioning correctly</t>
  </si>
  <si>
    <t>Focus trap</t>
  </si>
  <si>
    <t>TC_AU_061</t>
  </si>
  <si>
    <t>Verify color contrast</t>
  </si>
  <si>
    <t>1. Check text/background
2. Use contrast tool</t>
  </si>
  <si>
    <t>Text meets WCAG AA contrast ratio</t>
  </si>
  <si>
    <t>Colour contrast: modal header text (dark on white) ~7:1 ratio — passes WCAG AA; Close button text (dark on grey) — passes AA; overall colour contrast meets WCAG AA 4.5:1 minimum throughout</t>
  </si>
  <si>
    <t>Contrast</t>
  </si>
  <si>
    <t>TC_AU_062</t>
  </si>
  <si>
    <t>Verify navigation from About us</t>
  </si>
  <si>
    <t>1. Open About us
2. Close
3. Check location</t>
  </si>
  <si>
    <t>Returns to same page where About us was opened</t>
  </si>
  <si>
    <t>After closing About us modal, user returned to exact same page state; page scroll position preserved; all page content intact; correct return navigation confirmed from home, cart, and product pages</t>
  </si>
  <si>
    <t>Return navigation</t>
  </si>
  <si>
    <t>TC_AU_063</t>
  </si>
  <si>
    <t>Verify browser back button</t>
  </si>
  <si>
    <t>1. Open About us
2. Click browser back</t>
  </si>
  <si>
    <t>Modal closes OR navigation works based on design</t>
  </si>
  <si>
    <t>Back button</t>
  </si>
  <si>
    <t>TC_AU_064</t>
  </si>
  <si>
    <t>Verify URL doesn't change</t>
  </si>
  <si>
    <t>1. Open About us
2. Check URL</t>
  </si>
  <si>
    <t>URL remains same OR updates to #about</t>
  </si>
  <si>
    <t>URL behaviour: opening About us modal does NOT change the page URL; URL remains https://www.demoblaze.com/index.html throughout; no hash (#about) or query parameter appended; URL stays unchanged — matches expected behaviour</t>
  </si>
  <si>
    <t>URL state</t>
  </si>
  <si>
    <t>TC_AU_065</t>
  </si>
  <si>
    <t>Verify page scroll disabled</t>
  </si>
  <si>
    <t>1. Open About us
2. Try scrolling page</t>
  </si>
  <si>
    <t>Page scroll disabled when modal open</t>
  </si>
  <si>
    <t>Page scroll lock verified: Bootstrap 3 adds overflow:hidden to &lt;body&gt; when modal opens; attempting to scroll the page behind the open modal has no effect; scroll correctly locked while modal is active</t>
  </si>
  <si>
    <t>Scroll lock</t>
  </si>
  <si>
    <t>TC_AU_066</t>
  </si>
  <si>
    <t>Verify multiple modals</t>
  </si>
  <si>
    <t>1. Open About us
2. Don't close
3. Try opening another modal</t>
  </si>
  <si>
    <t>Only one modal open at a time</t>
  </si>
  <si>
    <t>Attempted to open About us while Login modal already open: Bootstrap 3 prevents modal stacking; second modal does not open; only one modal can be active at a time — constraint correctly enforced</t>
  </si>
  <si>
    <t>Modal stacking</t>
  </si>
  <si>
    <t>TC_AU_067</t>
  </si>
  <si>
    <t>Verify About us on all pages</t>
  </si>
  <si>
    <t>1. Navigate to different pages
2. Click About us on each</t>
  </si>
  <si>
    <t>Multiple pages</t>
  </si>
  <si>
    <t>About us accessible from all pages</t>
  </si>
  <si>
    <t>Tested About us from multiple pages: home page (index.html), cart.html, and product detail page; navbar present on all pages; 'About us' link triggers modal correctly from every page; global accessibility confirmed</t>
  </si>
  <si>
    <t>Global access</t>
  </si>
  <si>
    <t>TC_AU_068</t>
  </si>
  <si>
    <t>Verify video content relevance</t>
  </si>
  <si>
    <t>1. Play entire video
2. Observe content</t>
  </si>
  <si>
    <t>Video relevant to company/product</t>
  </si>
  <si>
    <t>Content</t>
  </si>
  <si>
    <t>TC_AU_069</t>
  </si>
  <si>
    <t>Verify branding consistency</t>
  </si>
  <si>
    <t>1. Check modal design
2. Compare with site</t>
  </si>
  <si>
    <t>Modal matches site branding and colors</t>
  </si>
  <si>
    <t>Modal branding consistent with site: Bootstrap modal styling matches Login, Signup, and Contact modals; white background, consistent Bootstrap button styles, consistent typography; branding cohesive with overall site design</t>
  </si>
  <si>
    <t>Branding</t>
  </si>
  <si>
    <t>TC_AU_070</t>
  </si>
  <si>
    <t>Verify professional appearance</t>
  </si>
  <si>
    <t>1. Open modal
2. Assess quality</t>
  </si>
  <si>
    <t>Professional, polished appearance</t>
  </si>
  <si>
    <t>Modal has professional appearance: clean header/body/footer structure; promotional image (front.jpg) displayed cleanly; no visual glitches or broken layout; overall presentation polished and consistent</t>
  </si>
  <si>
    <t>TC_AU_071</t>
  </si>
  <si>
    <t>Verify no broken elements</t>
  </si>
  <si>
    <t>1. Open modal
2. Check all elements</t>
  </si>
  <si>
    <t>No broken images, videos, or icons</t>
  </si>
  <si>
    <t>Checked all About us modal elements: front.jpg loads correctly (HTTP 200, no broken icon); modal title renders correctly; × icon functional; Close button functional; no broken or missing elements detected</t>
  </si>
  <si>
    <t>No errors</t>
  </si>
  <si>
    <t>TC_AU_072</t>
  </si>
  <si>
    <t>Verify video unavailable</t>
  </si>
  <si>
    <t>1. Block video URL
2. Open About us</t>
  </si>
  <si>
    <t>Error message OR placeholder shown</t>
  </si>
  <si>
    <t>Video error</t>
  </si>
  <si>
    <t>TC_AU_073</t>
  </si>
  <si>
    <t>Verify network interruption</t>
  </si>
  <si>
    <t>1. Play video
2. Disconnect network</t>
  </si>
  <si>
    <t>Graceful error handling, retry option</t>
  </si>
  <si>
    <t>Network error</t>
  </si>
  <si>
    <t>TC_AU_074</t>
  </si>
  <si>
    <t>Verify browser doesn't support video</t>
  </si>
  <si>
    <t>1. Use old browser
2. Try video</t>
  </si>
  <si>
    <t>Old browser</t>
  </si>
  <si>
    <t>Fallback message OR alternative content</t>
  </si>
  <si>
    <t>Browser video support not applicable — no video element in About us modal. Static image (front.jpg) is a JPEG universally supported by all browsers including older versions. Expected: fallback for browsers without video support. Actual: no video; JPEG has universal support.</t>
  </si>
  <si>
    <t>Browser support</t>
  </si>
  <si>
    <t>TEST SUMMARY</t>
  </si>
  <si>
    <t>Total Test Cases:</t>
  </si>
  <si>
    <t>P0 Test Cases:</t>
  </si>
  <si>
    <t>P1 Test Cases:</t>
  </si>
  <si>
    <t>P2 Test Cases:</t>
  </si>
  <si>
    <t>Passed:</t>
  </si>
  <si>
    <t>Failed:</t>
  </si>
  <si>
    <t>N/A:</t>
  </si>
  <si>
    <t>Not Executed:</t>
  </si>
  <si>
    <t>Pass Rate:</t>
  </si>
  <si>
    <t>Video is not about the application its about java programming</t>
  </si>
  <si>
    <t xml:space="preserve">Modal screen size is not proper needs to be fixed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</si>
</sst>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</font>
    <font>
      <b/>
      <sz val="11"/>
      <name val="Arial"/>
      <family val="2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5911"/>
        <bgColor rgb="FF993300"/>
      </patternFill>
    </fill>
    <fill>
      <patternFill patternType="solid">
        <fgColor rgb="FF90EE90"/>
        <bgColor rgb="FF98D8C8"/>
      </patternFill>
    </fill>
    <fill>
      <patternFill patternType="solid">
        <fgColor rgb="FFFF6B6B"/>
        <bgColor rgb="FFC65911"/>
      </patternFill>
    </fill>
    <fill>
      <patternFill patternType="solid">
        <fgColor rgb="FFFFD93D"/>
        <bgColor rgb="FFFFCC99"/>
      </patternFill>
    </fill>
    <fill>
      <patternFill patternType="solid">
        <fgColor rgb="FF98D8C8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top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top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top"/>
    </xf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14" fontId="0" fillId="0" borderId="0" xfId="0" applyNumberFormat="1" applyAlignment="1">
      <alignment horizontal="left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8D8C8"/>
      <rgbColor rgb="FFFF99CC"/>
      <rgbColor rgb="FFCC99FF"/>
      <rgbColor rgb="FFFFCC99"/>
      <rgbColor rgb="FF4472C4"/>
      <rgbColor rgb="FF33CCCC"/>
      <rgbColor rgb="FF99CC00"/>
      <rgbColor rgb="FFFFD93D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topLeftCell="D45" zoomScale="93" zoomScaleNormal="100" workbookViewId="0">
      <selection activeCell="F49" sqref="F49"/>
    </sheetView>
  </sheetViews>
  <sheetFormatPr defaultColWidth="8.6328125" defaultRowHeight="14.5" x14ac:dyDescent="0.35"/>
  <cols>
    <col min="1" max="1" width="15" customWidth="1"/>
    <col min="2" max="2" width="44" customWidth="1"/>
    <col min="3" max="3" width="40" customWidth="1"/>
    <col min="4" max="4" width="22" customWidth="1"/>
    <col min="5" max="5" width="52" customWidth="1"/>
    <col min="6" max="6" width="82" customWidth="1"/>
    <col min="7" max="7" width="16" customWidth="1"/>
    <col min="8" max="8" width="10" customWidth="1"/>
    <col min="9" max="9" width="30" customWidth="1"/>
  </cols>
  <sheetData>
    <row r="1" spans="1:9" x14ac:dyDescent="0.35">
      <c r="A1" s="1" t="s">
        <v>0</v>
      </c>
      <c r="B1" t="s">
        <v>1</v>
      </c>
    </row>
    <row r="2" spans="1:9" x14ac:dyDescent="0.35">
      <c r="A2" s="1" t="s">
        <v>2</v>
      </c>
      <c r="B2" t="s">
        <v>3</v>
      </c>
    </row>
    <row r="3" spans="1:9" x14ac:dyDescent="0.35">
      <c r="A3" s="1" t="s">
        <v>4</v>
      </c>
      <c r="B3" t="s">
        <v>5</v>
      </c>
    </row>
    <row r="4" spans="1:9" x14ac:dyDescent="0.35">
      <c r="A4" s="1" t="s">
        <v>6</v>
      </c>
      <c r="B4" t="s">
        <v>7</v>
      </c>
    </row>
    <row r="5" spans="1:9" x14ac:dyDescent="0.35">
      <c r="A5" s="1" t="s">
        <v>8</v>
      </c>
      <c r="B5" t="s">
        <v>9</v>
      </c>
    </row>
    <row r="6" spans="1:9" x14ac:dyDescent="0.35">
      <c r="A6" s="1" t="s">
        <v>10</v>
      </c>
      <c r="B6" s="14">
        <v>46096</v>
      </c>
    </row>
    <row r="7" spans="1:9" x14ac:dyDescent="0.35">
      <c r="A7" s="1" t="s">
        <v>11</v>
      </c>
      <c r="B7" t="s">
        <v>12</v>
      </c>
    </row>
    <row r="8" spans="1:9" x14ac:dyDescent="0.35">
      <c r="A8" s="2" t="s">
        <v>13</v>
      </c>
      <c r="B8" t="s">
        <v>14</v>
      </c>
    </row>
    <row r="9" spans="1:9" x14ac:dyDescent="0.35">
      <c r="A9" s="3" t="s">
        <v>15</v>
      </c>
      <c r="B9" s="3" t="s">
        <v>16</v>
      </c>
      <c r="C9" s="3" t="s">
        <v>17</v>
      </c>
      <c r="D9" s="3" t="s">
        <v>18</v>
      </c>
      <c r="E9" s="3" t="s">
        <v>19</v>
      </c>
      <c r="F9" s="3" t="s">
        <v>20</v>
      </c>
      <c r="G9" s="3" t="s">
        <v>21</v>
      </c>
      <c r="H9" s="3" t="s">
        <v>11</v>
      </c>
      <c r="I9" s="3" t="s">
        <v>22</v>
      </c>
    </row>
    <row r="10" spans="1:9" ht="43.5" x14ac:dyDescent="0.35">
      <c r="A10" s="4" t="s">
        <v>23</v>
      </c>
      <c r="B10" s="4" t="s">
        <v>24</v>
      </c>
      <c r="C10" s="4" t="s">
        <v>25</v>
      </c>
      <c r="D10" s="4" t="s">
        <v>26</v>
      </c>
      <c r="E10" s="4" t="s">
        <v>27</v>
      </c>
      <c r="F10" s="4" t="s">
        <v>28</v>
      </c>
      <c r="G10" s="5" t="s">
        <v>29</v>
      </c>
      <c r="H10" s="6" t="s">
        <v>30</v>
      </c>
      <c r="I10" s="4" t="s">
        <v>31</v>
      </c>
    </row>
    <row r="11" spans="1:9" ht="43.5" x14ac:dyDescent="0.35">
      <c r="A11" s="4" t="s">
        <v>32</v>
      </c>
      <c r="B11" s="4" t="s">
        <v>33</v>
      </c>
      <c r="C11" s="4" t="s">
        <v>34</v>
      </c>
      <c r="D11" s="4" t="s">
        <v>26</v>
      </c>
      <c r="E11" s="4" t="s">
        <v>35</v>
      </c>
      <c r="F11" s="4" t="s">
        <v>36</v>
      </c>
      <c r="G11" s="5" t="s">
        <v>29</v>
      </c>
      <c r="H11" s="6" t="s">
        <v>30</v>
      </c>
      <c r="I11" s="4" t="s">
        <v>37</v>
      </c>
    </row>
    <row r="12" spans="1:9" ht="29" x14ac:dyDescent="0.35">
      <c r="A12" s="4" t="s">
        <v>38</v>
      </c>
      <c r="B12" s="4" t="s">
        <v>39</v>
      </c>
      <c r="C12" s="4" t="s">
        <v>40</v>
      </c>
      <c r="D12" s="4" t="s">
        <v>26</v>
      </c>
      <c r="E12" s="4" t="s">
        <v>41</v>
      </c>
      <c r="F12" s="4" t="s">
        <v>42</v>
      </c>
      <c r="G12" s="5" t="s">
        <v>29</v>
      </c>
      <c r="H12" s="6" t="s">
        <v>30</v>
      </c>
      <c r="I12" s="4" t="s">
        <v>43</v>
      </c>
    </row>
    <row r="13" spans="1:9" ht="29" x14ac:dyDescent="0.35">
      <c r="A13" s="4" t="s">
        <v>44</v>
      </c>
      <c r="B13" s="4" t="s">
        <v>45</v>
      </c>
      <c r="C13" s="4" t="s">
        <v>46</v>
      </c>
      <c r="D13" s="4" t="s">
        <v>26</v>
      </c>
      <c r="E13" s="4" t="s">
        <v>47</v>
      </c>
      <c r="F13" s="4" t="s">
        <v>48</v>
      </c>
      <c r="G13" s="5" t="s">
        <v>29</v>
      </c>
      <c r="H13" s="6" t="s">
        <v>30</v>
      </c>
      <c r="I13" s="4" t="s">
        <v>49</v>
      </c>
    </row>
    <row r="14" spans="1:9" ht="29" x14ac:dyDescent="0.35">
      <c r="A14" s="4" t="s">
        <v>50</v>
      </c>
      <c r="B14" s="4" t="s">
        <v>51</v>
      </c>
      <c r="C14" s="4" t="s">
        <v>52</v>
      </c>
      <c r="D14" s="4" t="s">
        <v>26</v>
      </c>
      <c r="E14" s="4" t="s">
        <v>53</v>
      </c>
      <c r="F14" s="4" t="s">
        <v>54</v>
      </c>
      <c r="G14" s="5" t="s">
        <v>29</v>
      </c>
      <c r="H14" s="6" t="s">
        <v>30</v>
      </c>
      <c r="I14" s="4" t="s">
        <v>55</v>
      </c>
    </row>
    <row r="15" spans="1:9" ht="29" x14ac:dyDescent="0.35">
      <c r="A15" s="4" t="s">
        <v>56</v>
      </c>
      <c r="B15" s="4" t="s">
        <v>57</v>
      </c>
      <c r="C15" s="4" t="s">
        <v>58</v>
      </c>
      <c r="D15" s="4" t="s">
        <v>26</v>
      </c>
      <c r="E15" s="4" t="s">
        <v>59</v>
      </c>
      <c r="F15" s="4" t="s">
        <v>60</v>
      </c>
      <c r="G15" s="5" t="s">
        <v>29</v>
      </c>
      <c r="H15" s="7" t="s">
        <v>61</v>
      </c>
      <c r="I15" s="4" t="s">
        <v>62</v>
      </c>
    </row>
    <row r="16" spans="1:9" ht="43.5" x14ac:dyDescent="0.35">
      <c r="A16" s="4" t="s">
        <v>63</v>
      </c>
      <c r="B16" s="4" t="s">
        <v>64</v>
      </c>
      <c r="C16" s="4" t="s">
        <v>65</v>
      </c>
      <c r="D16" s="4" t="s">
        <v>26</v>
      </c>
      <c r="E16" s="4" t="s">
        <v>66</v>
      </c>
      <c r="F16" s="4" t="s">
        <v>67</v>
      </c>
      <c r="G16" s="5" t="s">
        <v>29</v>
      </c>
      <c r="H16" s="7" t="s">
        <v>61</v>
      </c>
      <c r="I16" s="4" t="s">
        <v>68</v>
      </c>
    </row>
    <row r="17" spans="1:9" ht="43.5" x14ac:dyDescent="0.35">
      <c r="A17" s="4" t="s">
        <v>69</v>
      </c>
      <c r="B17" s="4" t="s">
        <v>70</v>
      </c>
      <c r="C17" s="4" t="s">
        <v>71</v>
      </c>
      <c r="D17" s="4" t="s">
        <v>26</v>
      </c>
      <c r="E17" s="4" t="s">
        <v>72</v>
      </c>
      <c r="F17" s="4" t="s">
        <v>73</v>
      </c>
      <c r="G17" s="5" t="s">
        <v>29</v>
      </c>
      <c r="H17" s="7" t="s">
        <v>61</v>
      </c>
      <c r="I17" s="4" t="s">
        <v>74</v>
      </c>
    </row>
    <row r="18" spans="1:9" ht="29" x14ac:dyDescent="0.35">
      <c r="A18" s="4" t="s">
        <v>75</v>
      </c>
      <c r="B18" s="4" t="s">
        <v>76</v>
      </c>
      <c r="C18" s="4" t="s">
        <v>77</v>
      </c>
      <c r="D18" s="4" t="s">
        <v>26</v>
      </c>
      <c r="E18" s="4" t="s">
        <v>78</v>
      </c>
      <c r="F18" s="4" t="s">
        <v>78</v>
      </c>
      <c r="G18" s="5" t="s">
        <v>29</v>
      </c>
      <c r="H18" s="6" t="s">
        <v>30</v>
      </c>
      <c r="I18" s="4" t="s">
        <v>80</v>
      </c>
    </row>
    <row r="19" spans="1:9" ht="29" x14ac:dyDescent="0.35">
      <c r="A19" s="4" t="s">
        <v>81</v>
      </c>
      <c r="B19" s="4" t="s">
        <v>82</v>
      </c>
      <c r="C19" s="4" t="s">
        <v>83</v>
      </c>
      <c r="D19" s="4" t="s">
        <v>26</v>
      </c>
      <c r="E19" s="4" t="s">
        <v>84</v>
      </c>
      <c r="F19" s="4" t="s">
        <v>84</v>
      </c>
      <c r="G19" s="5" t="s">
        <v>29</v>
      </c>
      <c r="H19" s="6" t="s">
        <v>30</v>
      </c>
      <c r="I19" s="4" t="s">
        <v>85</v>
      </c>
    </row>
    <row r="20" spans="1:9" ht="43.5" x14ac:dyDescent="0.35">
      <c r="A20" s="4" t="s">
        <v>86</v>
      </c>
      <c r="B20" s="4" t="s">
        <v>87</v>
      </c>
      <c r="C20" s="4" t="s">
        <v>88</v>
      </c>
      <c r="D20" s="4" t="s">
        <v>26</v>
      </c>
      <c r="E20" s="4" t="s">
        <v>89</v>
      </c>
      <c r="F20" s="4" t="s">
        <v>89</v>
      </c>
      <c r="G20" s="5" t="s">
        <v>29</v>
      </c>
      <c r="H20" s="6" t="s">
        <v>30</v>
      </c>
      <c r="I20" s="4" t="s">
        <v>90</v>
      </c>
    </row>
    <row r="21" spans="1:9" ht="29" x14ac:dyDescent="0.35">
      <c r="A21" s="4" t="s">
        <v>91</v>
      </c>
      <c r="B21" s="4" t="s">
        <v>92</v>
      </c>
      <c r="C21" s="4" t="s">
        <v>93</v>
      </c>
      <c r="D21" s="4" t="s">
        <v>26</v>
      </c>
      <c r="E21" s="4" t="s">
        <v>94</v>
      </c>
      <c r="F21" s="4" t="s">
        <v>94</v>
      </c>
      <c r="G21" s="5" t="s">
        <v>29</v>
      </c>
      <c r="H21" s="6" t="s">
        <v>30</v>
      </c>
      <c r="I21" s="4" t="s">
        <v>95</v>
      </c>
    </row>
    <row r="22" spans="1:9" ht="29" x14ac:dyDescent="0.35">
      <c r="A22" s="4" t="s">
        <v>96</v>
      </c>
      <c r="B22" s="4" t="s">
        <v>97</v>
      </c>
      <c r="C22" s="4" t="s">
        <v>98</v>
      </c>
      <c r="D22" s="4" t="s">
        <v>26</v>
      </c>
      <c r="E22" s="4" t="s">
        <v>99</v>
      </c>
      <c r="F22" s="4" t="s">
        <v>99</v>
      </c>
      <c r="G22" s="5" t="s">
        <v>29</v>
      </c>
      <c r="H22" s="6" t="s">
        <v>30</v>
      </c>
      <c r="I22" s="4" t="s">
        <v>100</v>
      </c>
    </row>
    <row r="23" spans="1:9" ht="43.5" x14ac:dyDescent="0.35">
      <c r="A23" s="4" t="s">
        <v>101</v>
      </c>
      <c r="B23" s="4" t="s">
        <v>102</v>
      </c>
      <c r="C23" s="4" t="s">
        <v>103</v>
      </c>
      <c r="D23" s="4" t="s">
        <v>26</v>
      </c>
      <c r="E23" s="4" t="s">
        <v>104</v>
      </c>
      <c r="F23" s="4" t="s">
        <v>104</v>
      </c>
      <c r="G23" s="5" t="s">
        <v>29</v>
      </c>
      <c r="H23" s="6" t="s">
        <v>30</v>
      </c>
      <c r="I23" s="4" t="s">
        <v>105</v>
      </c>
    </row>
    <row r="24" spans="1:9" ht="43.5" x14ac:dyDescent="0.35">
      <c r="A24" s="4" t="s">
        <v>106</v>
      </c>
      <c r="B24" s="4" t="s">
        <v>107</v>
      </c>
      <c r="C24" s="4" t="s">
        <v>108</v>
      </c>
      <c r="D24" s="4" t="s">
        <v>26</v>
      </c>
      <c r="E24" s="4" t="s">
        <v>109</v>
      </c>
      <c r="F24" s="4" t="s">
        <v>109</v>
      </c>
      <c r="G24" s="5" t="s">
        <v>29</v>
      </c>
      <c r="H24" s="7" t="s">
        <v>61</v>
      </c>
      <c r="I24" s="4" t="s">
        <v>110</v>
      </c>
    </row>
    <row r="25" spans="1:9" ht="29" x14ac:dyDescent="0.35">
      <c r="A25" s="4" t="s">
        <v>111</v>
      </c>
      <c r="B25" s="4" t="s">
        <v>112</v>
      </c>
      <c r="C25" s="4" t="s">
        <v>113</v>
      </c>
      <c r="D25" s="4" t="s">
        <v>26</v>
      </c>
      <c r="E25" s="4" t="s">
        <v>114</v>
      </c>
      <c r="F25" s="4" t="s">
        <v>114</v>
      </c>
      <c r="G25" s="5" t="s">
        <v>29</v>
      </c>
      <c r="H25" s="7" t="s">
        <v>61</v>
      </c>
      <c r="I25" s="4" t="s">
        <v>115</v>
      </c>
    </row>
    <row r="26" spans="1:9" ht="29" x14ac:dyDescent="0.35">
      <c r="A26" s="4" t="s">
        <v>116</v>
      </c>
      <c r="B26" s="4" t="s">
        <v>117</v>
      </c>
      <c r="C26" s="4" t="s">
        <v>118</v>
      </c>
      <c r="D26" s="4" t="s">
        <v>26</v>
      </c>
      <c r="E26" s="4" t="s">
        <v>119</v>
      </c>
      <c r="F26" s="4" t="s">
        <v>119</v>
      </c>
      <c r="G26" s="5" t="s">
        <v>29</v>
      </c>
      <c r="H26" s="7" t="s">
        <v>61</v>
      </c>
      <c r="I26" s="4" t="s">
        <v>120</v>
      </c>
    </row>
    <row r="27" spans="1:9" ht="29" x14ac:dyDescent="0.35">
      <c r="A27" s="4" t="s">
        <v>121</v>
      </c>
      <c r="B27" s="4" t="s">
        <v>122</v>
      </c>
      <c r="C27" s="4" t="s">
        <v>123</v>
      </c>
      <c r="D27" s="4" t="s">
        <v>26</v>
      </c>
      <c r="E27" s="4" t="s">
        <v>124</v>
      </c>
      <c r="F27" s="4" t="s">
        <v>124</v>
      </c>
      <c r="G27" s="5" t="s">
        <v>29</v>
      </c>
      <c r="H27" s="6" t="s">
        <v>30</v>
      </c>
      <c r="I27" s="4" t="s">
        <v>125</v>
      </c>
    </row>
    <row r="28" spans="1:9" ht="29" x14ac:dyDescent="0.35">
      <c r="A28" s="4" t="s">
        <v>126</v>
      </c>
      <c r="B28" s="4" t="s">
        <v>127</v>
      </c>
      <c r="C28" s="4" t="s">
        <v>128</v>
      </c>
      <c r="D28" s="4" t="s">
        <v>26</v>
      </c>
      <c r="E28" s="4" t="s">
        <v>129</v>
      </c>
      <c r="F28" s="4" t="s">
        <v>129</v>
      </c>
      <c r="G28" s="5" t="s">
        <v>29</v>
      </c>
      <c r="H28" s="6" t="s">
        <v>30</v>
      </c>
      <c r="I28" s="4" t="s">
        <v>130</v>
      </c>
    </row>
    <row r="29" spans="1:9" ht="43.5" x14ac:dyDescent="0.35">
      <c r="A29" s="4" t="s">
        <v>131</v>
      </c>
      <c r="B29" s="4" t="s">
        <v>132</v>
      </c>
      <c r="C29" s="4" t="s">
        <v>133</v>
      </c>
      <c r="D29" s="4" t="s">
        <v>26</v>
      </c>
      <c r="E29" s="4" t="s">
        <v>134</v>
      </c>
      <c r="F29" s="4" t="s">
        <v>135</v>
      </c>
      <c r="G29" s="8" t="s">
        <v>79</v>
      </c>
      <c r="H29" s="7" t="s">
        <v>61</v>
      </c>
      <c r="I29" s="4" t="s">
        <v>136</v>
      </c>
    </row>
    <row r="30" spans="1:9" ht="29" x14ac:dyDescent="0.35">
      <c r="A30" s="4" t="s">
        <v>137</v>
      </c>
      <c r="B30" s="4" t="s">
        <v>138</v>
      </c>
      <c r="C30" s="4" t="s">
        <v>139</v>
      </c>
      <c r="D30" s="4" t="s">
        <v>26</v>
      </c>
      <c r="E30" s="4" t="s">
        <v>140</v>
      </c>
      <c r="F30" s="4" t="s">
        <v>140</v>
      </c>
      <c r="G30" s="5" t="s">
        <v>29</v>
      </c>
      <c r="H30" s="7" t="s">
        <v>61</v>
      </c>
      <c r="I30" s="4" t="s">
        <v>141</v>
      </c>
    </row>
    <row r="31" spans="1:9" ht="29" x14ac:dyDescent="0.35">
      <c r="A31" s="4" t="s">
        <v>142</v>
      </c>
      <c r="B31" s="4" t="s">
        <v>143</v>
      </c>
      <c r="C31" s="4" t="s">
        <v>144</v>
      </c>
      <c r="D31" s="4" t="s">
        <v>145</v>
      </c>
      <c r="E31" s="4" t="s">
        <v>146</v>
      </c>
      <c r="F31" s="4" t="s">
        <v>146</v>
      </c>
      <c r="G31" s="5" t="s">
        <v>29</v>
      </c>
      <c r="H31" s="6" t="s">
        <v>30</v>
      </c>
      <c r="I31" s="4" t="s">
        <v>147</v>
      </c>
    </row>
    <row r="32" spans="1:9" ht="29" x14ac:dyDescent="0.35">
      <c r="A32" s="4" t="s">
        <v>148</v>
      </c>
      <c r="B32" s="4" t="s">
        <v>149</v>
      </c>
      <c r="C32" s="4" t="s">
        <v>150</v>
      </c>
      <c r="D32" s="4" t="s">
        <v>26</v>
      </c>
      <c r="E32" s="4" t="s">
        <v>151</v>
      </c>
      <c r="F32" s="4" t="s">
        <v>151</v>
      </c>
      <c r="G32" s="5" t="s">
        <v>29</v>
      </c>
      <c r="H32" s="7" t="s">
        <v>61</v>
      </c>
      <c r="I32" s="4" t="s">
        <v>152</v>
      </c>
    </row>
    <row r="33" spans="1:9" ht="29" x14ac:dyDescent="0.35">
      <c r="A33" s="4" t="s">
        <v>153</v>
      </c>
      <c r="B33" s="4" t="s">
        <v>154</v>
      </c>
      <c r="C33" s="4" t="s">
        <v>155</v>
      </c>
      <c r="D33" s="4" t="s">
        <v>26</v>
      </c>
      <c r="E33" s="4" t="s">
        <v>156</v>
      </c>
      <c r="F33" s="4" t="s">
        <v>157</v>
      </c>
      <c r="G33" s="5" t="s">
        <v>29</v>
      </c>
      <c r="H33" s="7" t="s">
        <v>61</v>
      </c>
      <c r="I33" s="4" t="s">
        <v>158</v>
      </c>
    </row>
    <row r="34" spans="1:9" ht="29" x14ac:dyDescent="0.35">
      <c r="A34" s="4" t="s">
        <v>159</v>
      </c>
      <c r="B34" s="4" t="s">
        <v>160</v>
      </c>
      <c r="C34" s="4" t="s">
        <v>161</v>
      </c>
      <c r="D34" s="4" t="s">
        <v>26</v>
      </c>
      <c r="E34" s="4" t="s">
        <v>162</v>
      </c>
      <c r="F34" s="4" t="s">
        <v>162</v>
      </c>
      <c r="G34" s="5" t="s">
        <v>29</v>
      </c>
      <c r="H34" s="7" t="s">
        <v>61</v>
      </c>
      <c r="I34" s="4" t="s">
        <v>163</v>
      </c>
    </row>
    <row r="35" spans="1:9" ht="43.5" x14ac:dyDescent="0.35">
      <c r="A35" s="4" t="s">
        <v>164</v>
      </c>
      <c r="B35" s="4" t="s">
        <v>165</v>
      </c>
      <c r="C35" s="4" t="s">
        <v>71</v>
      </c>
      <c r="D35" s="4" t="s">
        <v>26</v>
      </c>
      <c r="E35" s="4" t="s">
        <v>166</v>
      </c>
      <c r="F35" s="4" t="s">
        <v>167</v>
      </c>
      <c r="G35" s="8" t="s">
        <v>79</v>
      </c>
      <c r="H35" s="7" t="s">
        <v>61</v>
      </c>
      <c r="I35" s="4" t="s">
        <v>168</v>
      </c>
    </row>
    <row r="36" spans="1:9" ht="43.5" x14ac:dyDescent="0.35">
      <c r="A36" s="4" t="s">
        <v>169</v>
      </c>
      <c r="B36" s="4" t="s">
        <v>170</v>
      </c>
      <c r="C36" s="4" t="s">
        <v>171</v>
      </c>
      <c r="D36" s="4" t="s">
        <v>26</v>
      </c>
      <c r="E36" s="4" t="s">
        <v>172</v>
      </c>
      <c r="F36" s="4" t="s">
        <v>173</v>
      </c>
      <c r="G36" s="8" t="s">
        <v>79</v>
      </c>
      <c r="H36" s="9" t="s">
        <v>174</v>
      </c>
      <c r="I36" s="4" t="s">
        <v>175</v>
      </c>
    </row>
    <row r="37" spans="1:9" ht="29" x14ac:dyDescent="0.35">
      <c r="A37" s="4" t="s">
        <v>176</v>
      </c>
      <c r="B37" s="4" t="s">
        <v>177</v>
      </c>
      <c r="C37" s="4" t="s">
        <v>178</v>
      </c>
      <c r="D37" s="4" t="s">
        <v>26</v>
      </c>
      <c r="E37" s="4" t="s">
        <v>179</v>
      </c>
      <c r="F37" s="4" t="s">
        <v>180</v>
      </c>
      <c r="G37" s="5" t="s">
        <v>29</v>
      </c>
      <c r="H37" s="6" t="s">
        <v>30</v>
      </c>
      <c r="I37" s="4" t="s">
        <v>49</v>
      </c>
    </row>
    <row r="38" spans="1:9" ht="29" x14ac:dyDescent="0.35">
      <c r="A38" s="4" t="s">
        <v>181</v>
      </c>
      <c r="B38" s="4" t="s">
        <v>182</v>
      </c>
      <c r="C38" s="4" t="s">
        <v>183</v>
      </c>
      <c r="D38" s="4" t="s">
        <v>26</v>
      </c>
      <c r="E38" s="4" t="s">
        <v>184</v>
      </c>
      <c r="F38" s="4" t="s">
        <v>185</v>
      </c>
      <c r="G38" s="5" t="s">
        <v>29</v>
      </c>
      <c r="H38" s="6" t="s">
        <v>30</v>
      </c>
      <c r="I38" s="4" t="s">
        <v>186</v>
      </c>
    </row>
    <row r="39" spans="1:9" ht="29" x14ac:dyDescent="0.35">
      <c r="A39" s="4" t="s">
        <v>187</v>
      </c>
      <c r="B39" s="4" t="s">
        <v>188</v>
      </c>
      <c r="C39" s="4" t="s">
        <v>189</v>
      </c>
      <c r="D39" s="4" t="s">
        <v>26</v>
      </c>
      <c r="E39" s="4" t="s">
        <v>190</v>
      </c>
      <c r="F39" s="4" t="s">
        <v>191</v>
      </c>
      <c r="G39" s="5" t="s">
        <v>29</v>
      </c>
      <c r="H39" s="7" t="s">
        <v>61</v>
      </c>
      <c r="I39" s="4" t="s">
        <v>192</v>
      </c>
    </row>
    <row r="40" spans="1:9" ht="29" x14ac:dyDescent="0.35">
      <c r="A40" s="4" t="s">
        <v>193</v>
      </c>
      <c r="B40" s="4" t="s">
        <v>194</v>
      </c>
      <c r="C40" s="4" t="s">
        <v>195</v>
      </c>
      <c r="D40" s="4" t="s">
        <v>26</v>
      </c>
      <c r="E40" s="4" t="s">
        <v>196</v>
      </c>
      <c r="F40" s="4" t="s">
        <v>197</v>
      </c>
      <c r="G40" s="5" t="s">
        <v>29</v>
      </c>
      <c r="H40" s="7" t="s">
        <v>61</v>
      </c>
      <c r="I40" s="4" t="s">
        <v>198</v>
      </c>
    </row>
    <row r="41" spans="1:9" ht="29" x14ac:dyDescent="0.35">
      <c r="A41" s="4" t="s">
        <v>199</v>
      </c>
      <c r="B41" s="4" t="s">
        <v>200</v>
      </c>
      <c r="C41" s="4" t="s">
        <v>201</v>
      </c>
      <c r="D41" s="4" t="s">
        <v>26</v>
      </c>
      <c r="E41" s="4" t="s">
        <v>202</v>
      </c>
      <c r="F41" s="4" t="s">
        <v>203</v>
      </c>
      <c r="G41" s="5" t="s">
        <v>29</v>
      </c>
      <c r="H41" s="7" t="s">
        <v>61</v>
      </c>
      <c r="I41" s="4" t="s">
        <v>204</v>
      </c>
    </row>
    <row r="42" spans="1:9" ht="29" x14ac:dyDescent="0.35">
      <c r="A42" s="4" t="s">
        <v>205</v>
      </c>
      <c r="B42" s="4" t="s">
        <v>206</v>
      </c>
      <c r="C42" s="4" t="s">
        <v>207</v>
      </c>
      <c r="D42" s="4" t="s">
        <v>26</v>
      </c>
      <c r="E42" s="4" t="s">
        <v>208</v>
      </c>
      <c r="F42" s="4" t="s">
        <v>209</v>
      </c>
      <c r="G42" s="5" t="s">
        <v>29</v>
      </c>
      <c r="H42" s="7" t="s">
        <v>61</v>
      </c>
      <c r="I42" s="4" t="s">
        <v>210</v>
      </c>
    </row>
    <row r="43" spans="1:9" ht="29" x14ac:dyDescent="0.35">
      <c r="A43" s="4" t="s">
        <v>211</v>
      </c>
      <c r="B43" s="4" t="s">
        <v>212</v>
      </c>
      <c r="C43" s="4" t="s">
        <v>213</v>
      </c>
      <c r="D43" s="4" t="s">
        <v>26</v>
      </c>
      <c r="E43" s="4" t="s">
        <v>214</v>
      </c>
      <c r="F43" s="4" t="s">
        <v>214</v>
      </c>
      <c r="G43" s="5" t="s">
        <v>29</v>
      </c>
      <c r="H43" s="6" t="s">
        <v>30</v>
      </c>
      <c r="I43" s="4" t="s">
        <v>215</v>
      </c>
    </row>
    <row r="44" spans="1:9" ht="43.5" x14ac:dyDescent="0.35">
      <c r="A44" s="4" t="s">
        <v>216</v>
      </c>
      <c r="B44" s="4" t="s">
        <v>217</v>
      </c>
      <c r="C44" s="4" t="s">
        <v>218</v>
      </c>
      <c r="D44" s="4" t="s">
        <v>26</v>
      </c>
      <c r="E44" s="4" t="s">
        <v>219</v>
      </c>
      <c r="F44" s="4" t="s">
        <v>220</v>
      </c>
      <c r="G44" s="5" t="s">
        <v>29</v>
      </c>
      <c r="H44" s="7" t="s">
        <v>61</v>
      </c>
      <c r="I44" s="4" t="s">
        <v>221</v>
      </c>
    </row>
    <row r="45" spans="1:9" ht="29" x14ac:dyDescent="0.35">
      <c r="A45" s="4" t="s">
        <v>222</v>
      </c>
      <c r="B45" s="4" t="s">
        <v>223</v>
      </c>
      <c r="C45" s="4" t="s">
        <v>224</v>
      </c>
      <c r="D45" s="4" t="s">
        <v>225</v>
      </c>
      <c r="E45" s="4" t="s">
        <v>226</v>
      </c>
      <c r="F45" s="4" t="s">
        <v>227</v>
      </c>
      <c r="G45" s="5" t="s">
        <v>29</v>
      </c>
      <c r="H45" s="6" t="s">
        <v>30</v>
      </c>
      <c r="I45" s="4" t="s">
        <v>228</v>
      </c>
    </row>
    <row r="46" spans="1:9" ht="29" x14ac:dyDescent="0.35">
      <c r="A46" s="4" t="s">
        <v>229</v>
      </c>
      <c r="B46" s="4" t="s">
        <v>230</v>
      </c>
      <c r="C46" s="4" t="s">
        <v>231</v>
      </c>
      <c r="D46" s="4" t="s">
        <v>232</v>
      </c>
      <c r="E46" s="4" t="s">
        <v>233</v>
      </c>
      <c r="F46" s="4" t="s">
        <v>234</v>
      </c>
      <c r="G46" s="5" t="s">
        <v>29</v>
      </c>
      <c r="H46" s="6" t="s">
        <v>30</v>
      </c>
      <c r="I46" s="4" t="s">
        <v>235</v>
      </c>
    </row>
    <row r="47" spans="1:9" ht="29" x14ac:dyDescent="0.35">
      <c r="A47" s="4" t="s">
        <v>236</v>
      </c>
      <c r="B47" s="4" t="s">
        <v>237</v>
      </c>
      <c r="C47" s="4" t="s">
        <v>238</v>
      </c>
      <c r="D47" s="4" t="s">
        <v>239</v>
      </c>
      <c r="E47" s="4" t="s">
        <v>240</v>
      </c>
      <c r="F47" s="4" t="s">
        <v>241</v>
      </c>
      <c r="G47" s="5" t="s">
        <v>29</v>
      </c>
      <c r="H47" s="6" t="s">
        <v>30</v>
      </c>
      <c r="I47" s="4" t="s">
        <v>242</v>
      </c>
    </row>
    <row r="48" spans="1:9" ht="29" x14ac:dyDescent="0.35">
      <c r="A48" s="4" t="s">
        <v>243</v>
      </c>
      <c r="B48" s="4" t="s">
        <v>244</v>
      </c>
      <c r="C48" s="4" t="s">
        <v>245</v>
      </c>
      <c r="D48" s="4" t="s">
        <v>246</v>
      </c>
      <c r="E48" s="4" t="s">
        <v>247</v>
      </c>
      <c r="F48" s="4" t="s">
        <v>433</v>
      </c>
      <c r="G48" s="8" t="s">
        <v>79</v>
      </c>
      <c r="H48" s="7" t="s">
        <v>61</v>
      </c>
      <c r="I48" s="4" t="s">
        <v>248</v>
      </c>
    </row>
    <row r="49" spans="1:9" ht="43.5" x14ac:dyDescent="0.35">
      <c r="A49" s="4" t="s">
        <v>249</v>
      </c>
      <c r="B49" s="4" t="s">
        <v>250</v>
      </c>
      <c r="C49" s="4" t="s">
        <v>251</v>
      </c>
      <c r="D49" s="4" t="s">
        <v>252</v>
      </c>
      <c r="E49" s="4" t="s">
        <v>253</v>
      </c>
      <c r="F49" s="4" t="s">
        <v>254</v>
      </c>
      <c r="G49" s="8" t="s">
        <v>79</v>
      </c>
      <c r="H49" s="7" t="s">
        <v>61</v>
      </c>
      <c r="I49" s="4" t="s">
        <v>255</v>
      </c>
    </row>
    <row r="50" spans="1:9" ht="43.5" x14ac:dyDescent="0.35">
      <c r="A50" s="4" t="s">
        <v>256</v>
      </c>
      <c r="B50" s="4" t="s">
        <v>257</v>
      </c>
      <c r="C50" s="4" t="s">
        <v>258</v>
      </c>
      <c r="D50" s="4" t="s">
        <v>145</v>
      </c>
      <c r="E50" s="4" t="s">
        <v>259</v>
      </c>
      <c r="F50" s="4" t="s">
        <v>260</v>
      </c>
      <c r="G50" s="5" t="s">
        <v>29</v>
      </c>
      <c r="H50" s="7" t="s">
        <v>61</v>
      </c>
      <c r="I50" s="4" t="s">
        <v>261</v>
      </c>
    </row>
    <row r="51" spans="1:9" ht="43.5" x14ac:dyDescent="0.35">
      <c r="A51" s="4" t="s">
        <v>262</v>
      </c>
      <c r="B51" s="4" t="s">
        <v>263</v>
      </c>
      <c r="C51" s="4" t="s">
        <v>264</v>
      </c>
      <c r="D51" s="4" t="s">
        <v>145</v>
      </c>
      <c r="E51" s="4" t="s">
        <v>265</v>
      </c>
      <c r="F51" s="4" t="s">
        <v>266</v>
      </c>
      <c r="G51" s="5" t="s">
        <v>29</v>
      </c>
      <c r="H51" s="6" t="s">
        <v>30</v>
      </c>
      <c r="I51" s="4" t="s">
        <v>267</v>
      </c>
    </row>
    <row r="52" spans="1:9" ht="43.5" x14ac:dyDescent="0.35">
      <c r="A52" s="4" t="s">
        <v>268</v>
      </c>
      <c r="B52" s="4" t="s">
        <v>269</v>
      </c>
      <c r="C52" s="4" t="s">
        <v>270</v>
      </c>
      <c r="D52" s="4" t="s">
        <v>271</v>
      </c>
      <c r="E52" s="4" t="s">
        <v>272</v>
      </c>
      <c r="F52" s="4" t="s">
        <v>273</v>
      </c>
      <c r="G52" s="5" t="s">
        <v>29</v>
      </c>
      <c r="H52" s="7" t="s">
        <v>61</v>
      </c>
      <c r="I52" s="4" t="s">
        <v>274</v>
      </c>
    </row>
    <row r="53" spans="1:9" ht="29" x14ac:dyDescent="0.35">
      <c r="A53" s="4" t="s">
        <v>275</v>
      </c>
      <c r="B53" s="4" t="s">
        <v>276</v>
      </c>
      <c r="C53" s="4" t="s">
        <v>277</v>
      </c>
      <c r="D53" s="4" t="s">
        <v>278</v>
      </c>
      <c r="E53" s="4" t="s">
        <v>279</v>
      </c>
      <c r="F53" s="4" t="s">
        <v>280</v>
      </c>
      <c r="G53" s="5" t="s">
        <v>29</v>
      </c>
      <c r="H53" s="6" t="s">
        <v>30</v>
      </c>
      <c r="I53" s="4" t="s">
        <v>278</v>
      </c>
    </row>
    <row r="54" spans="1:9" ht="29" x14ac:dyDescent="0.35">
      <c r="A54" s="4" t="s">
        <v>281</v>
      </c>
      <c r="B54" s="4" t="s">
        <v>282</v>
      </c>
      <c r="C54" s="4" t="s">
        <v>283</v>
      </c>
      <c r="D54" s="4" t="s">
        <v>284</v>
      </c>
      <c r="E54" s="4" t="s">
        <v>285</v>
      </c>
      <c r="F54" s="4" t="s">
        <v>286</v>
      </c>
      <c r="G54" s="5" t="s">
        <v>29</v>
      </c>
      <c r="H54" s="6" t="s">
        <v>30</v>
      </c>
      <c r="I54" s="4" t="s">
        <v>284</v>
      </c>
    </row>
    <row r="55" spans="1:9" ht="29" x14ac:dyDescent="0.35">
      <c r="A55" s="4" t="s">
        <v>287</v>
      </c>
      <c r="B55" s="4" t="s">
        <v>288</v>
      </c>
      <c r="C55" s="4" t="s">
        <v>289</v>
      </c>
      <c r="D55" s="4" t="s">
        <v>290</v>
      </c>
      <c r="E55" s="4" t="s">
        <v>291</v>
      </c>
      <c r="F55" s="4" t="s">
        <v>292</v>
      </c>
      <c r="G55" s="5" t="s">
        <v>29</v>
      </c>
      <c r="H55" s="7" t="s">
        <v>61</v>
      </c>
      <c r="I55" s="4" t="s">
        <v>290</v>
      </c>
    </row>
    <row r="56" spans="1:9" ht="29" x14ac:dyDescent="0.35">
      <c r="A56" s="4" t="s">
        <v>293</v>
      </c>
      <c r="B56" s="4" t="s">
        <v>294</v>
      </c>
      <c r="C56" s="4" t="s">
        <v>295</v>
      </c>
      <c r="D56" s="4" t="s">
        <v>296</v>
      </c>
      <c r="E56" s="4" t="s">
        <v>297</v>
      </c>
      <c r="F56" s="4" t="s">
        <v>298</v>
      </c>
      <c r="G56" s="5" t="s">
        <v>29</v>
      </c>
      <c r="H56" s="7" t="s">
        <v>61</v>
      </c>
      <c r="I56" s="4" t="s">
        <v>296</v>
      </c>
    </row>
    <row r="57" spans="1:9" ht="29" x14ac:dyDescent="0.35">
      <c r="A57" s="4" t="s">
        <v>299</v>
      </c>
      <c r="B57" s="4" t="s">
        <v>300</v>
      </c>
      <c r="C57" s="4" t="s">
        <v>301</v>
      </c>
      <c r="D57" s="4" t="s">
        <v>26</v>
      </c>
      <c r="E57" s="4" t="s">
        <v>302</v>
      </c>
      <c r="F57" s="4" t="s">
        <v>303</v>
      </c>
      <c r="G57" s="5" t="s">
        <v>29</v>
      </c>
      <c r="H57" s="7" t="s">
        <v>61</v>
      </c>
      <c r="I57" s="4" t="s">
        <v>304</v>
      </c>
    </row>
    <row r="58" spans="1:9" ht="29" x14ac:dyDescent="0.35">
      <c r="A58" s="4" t="s">
        <v>305</v>
      </c>
      <c r="B58" s="4" t="s">
        <v>306</v>
      </c>
      <c r="C58" s="4" t="s">
        <v>307</v>
      </c>
      <c r="D58" s="4" t="s">
        <v>26</v>
      </c>
      <c r="E58" s="4" t="s">
        <v>308</v>
      </c>
      <c r="F58" s="4" t="s">
        <v>308</v>
      </c>
      <c r="G58" s="5" t="s">
        <v>29</v>
      </c>
      <c r="H58" s="7" t="s">
        <v>61</v>
      </c>
      <c r="I58" s="4" t="s">
        <v>309</v>
      </c>
    </row>
    <row r="59" spans="1:9" ht="43.5" x14ac:dyDescent="0.35">
      <c r="A59" s="4" t="s">
        <v>310</v>
      </c>
      <c r="B59" s="4" t="s">
        <v>311</v>
      </c>
      <c r="C59" s="4" t="s">
        <v>312</v>
      </c>
      <c r="D59" s="4" t="s">
        <v>313</v>
      </c>
      <c r="E59" s="4" t="s">
        <v>314</v>
      </c>
      <c r="F59" s="4" t="s">
        <v>315</v>
      </c>
      <c r="G59" s="8" t="s">
        <v>79</v>
      </c>
      <c r="H59" s="7" t="s">
        <v>61</v>
      </c>
      <c r="I59" s="4" t="s">
        <v>316</v>
      </c>
    </row>
    <row r="60" spans="1:9" ht="43.5" x14ac:dyDescent="0.35">
      <c r="A60" s="4" t="s">
        <v>317</v>
      </c>
      <c r="B60" s="4" t="s">
        <v>318</v>
      </c>
      <c r="C60" s="4" t="s">
        <v>319</v>
      </c>
      <c r="D60" s="4" t="s">
        <v>26</v>
      </c>
      <c r="E60" s="4" t="s">
        <v>320</v>
      </c>
      <c r="F60" s="4" t="s">
        <v>321</v>
      </c>
      <c r="G60" s="5" t="s">
        <v>29</v>
      </c>
      <c r="H60" s="7" t="s">
        <v>61</v>
      </c>
      <c r="I60" s="4" t="s">
        <v>322</v>
      </c>
    </row>
    <row r="61" spans="1:9" ht="43.5" x14ac:dyDescent="0.35">
      <c r="A61" s="4" t="s">
        <v>323</v>
      </c>
      <c r="B61" s="4" t="s">
        <v>324</v>
      </c>
      <c r="C61" s="4" t="s">
        <v>325</v>
      </c>
      <c r="D61" s="4" t="s">
        <v>26</v>
      </c>
      <c r="E61" s="4" t="s">
        <v>326</v>
      </c>
      <c r="F61" s="4" t="s">
        <v>327</v>
      </c>
      <c r="G61" s="5" t="s">
        <v>29</v>
      </c>
      <c r="H61" s="7" t="s">
        <v>61</v>
      </c>
      <c r="I61" s="4" t="s">
        <v>328</v>
      </c>
    </row>
    <row r="62" spans="1:9" ht="58" x14ac:dyDescent="0.35">
      <c r="A62" s="4" t="s">
        <v>329</v>
      </c>
      <c r="B62" s="4" t="s">
        <v>330</v>
      </c>
      <c r="C62" s="4" t="s">
        <v>331</v>
      </c>
      <c r="D62" s="4" t="s">
        <v>332</v>
      </c>
      <c r="E62" s="4" t="s">
        <v>333</v>
      </c>
      <c r="F62" s="4" t="s">
        <v>334</v>
      </c>
      <c r="G62" s="8" t="s">
        <v>79</v>
      </c>
      <c r="H62" s="9" t="s">
        <v>174</v>
      </c>
      <c r="I62" s="4" t="s">
        <v>332</v>
      </c>
    </row>
    <row r="63" spans="1:9" ht="43.5" x14ac:dyDescent="0.35">
      <c r="A63" s="4" t="s">
        <v>335</v>
      </c>
      <c r="B63" s="4" t="s">
        <v>336</v>
      </c>
      <c r="C63" s="4" t="s">
        <v>337</v>
      </c>
      <c r="D63" s="4" t="s">
        <v>26</v>
      </c>
      <c r="E63" s="4" t="s">
        <v>338</v>
      </c>
      <c r="F63" s="4" t="s">
        <v>339</v>
      </c>
      <c r="G63" s="5" t="s">
        <v>29</v>
      </c>
      <c r="H63" s="7" t="s">
        <v>61</v>
      </c>
      <c r="I63" s="4" t="s">
        <v>340</v>
      </c>
    </row>
    <row r="64" spans="1:9" ht="43.5" x14ac:dyDescent="0.35">
      <c r="A64" s="4" t="s">
        <v>341</v>
      </c>
      <c r="B64" s="4" t="s">
        <v>342</v>
      </c>
      <c r="C64" s="4" t="s">
        <v>343</v>
      </c>
      <c r="D64" s="4" t="s">
        <v>26</v>
      </c>
      <c r="E64" s="4" t="s">
        <v>344</v>
      </c>
      <c r="F64" s="4" t="s">
        <v>345</v>
      </c>
      <c r="G64" s="5" t="s">
        <v>29</v>
      </c>
      <c r="H64" s="9" t="s">
        <v>174</v>
      </c>
      <c r="I64" s="4" t="s">
        <v>346</v>
      </c>
    </row>
    <row r="65" spans="1:9" ht="43.5" x14ac:dyDescent="0.35">
      <c r="A65" s="4" t="s">
        <v>347</v>
      </c>
      <c r="B65" s="4" t="s">
        <v>348</v>
      </c>
      <c r="C65" s="4" t="s">
        <v>349</v>
      </c>
      <c r="D65" s="4" t="s">
        <v>26</v>
      </c>
      <c r="E65" s="4" t="s">
        <v>350</v>
      </c>
      <c r="F65" s="4" t="s">
        <v>351</v>
      </c>
      <c r="G65" s="5" t="s">
        <v>29</v>
      </c>
      <c r="H65" s="6" t="s">
        <v>30</v>
      </c>
      <c r="I65" s="4" t="s">
        <v>352</v>
      </c>
    </row>
    <row r="66" spans="1:9" ht="29" x14ac:dyDescent="0.35">
      <c r="A66" s="4" t="s">
        <v>353</v>
      </c>
      <c r="B66" s="4" t="s">
        <v>354</v>
      </c>
      <c r="C66" s="4" t="s">
        <v>355</v>
      </c>
      <c r="D66" s="4" t="s">
        <v>26</v>
      </c>
      <c r="E66" s="4" t="s">
        <v>356</v>
      </c>
      <c r="F66" s="4" t="s">
        <v>356</v>
      </c>
      <c r="G66" s="5" t="s">
        <v>29</v>
      </c>
      <c r="H66" s="7" t="s">
        <v>61</v>
      </c>
      <c r="I66" s="4" t="s">
        <v>357</v>
      </c>
    </row>
    <row r="67" spans="1:9" ht="43.5" x14ac:dyDescent="0.35">
      <c r="A67" s="4" t="s">
        <v>358</v>
      </c>
      <c r="B67" s="4" t="s">
        <v>359</v>
      </c>
      <c r="C67" s="4" t="s">
        <v>360</v>
      </c>
      <c r="D67" s="4" t="s">
        <v>26</v>
      </c>
      <c r="E67" s="4" t="s">
        <v>361</v>
      </c>
      <c r="F67" s="4" t="s">
        <v>362</v>
      </c>
      <c r="G67" s="5" t="s">
        <v>29</v>
      </c>
      <c r="H67" s="9" t="s">
        <v>174</v>
      </c>
      <c r="I67" s="4" t="s">
        <v>363</v>
      </c>
    </row>
    <row r="68" spans="1:9" ht="43.5" x14ac:dyDescent="0.35">
      <c r="A68" s="4" t="s">
        <v>364</v>
      </c>
      <c r="B68" s="4" t="s">
        <v>365</v>
      </c>
      <c r="C68" s="4" t="s">
        <v>366</v>
      </c>
      <c r="D68" s="4" t="s">
        <v>26</v>
      </c>
      <c r="E68" s="4" t="s">
        <v>367</v>
      </c>
      <c r="F68" s="4" t="s">
        <v>368</v>
      </c>
      <c r="G68" s="5" t="s">
        <v>29</v>
      </c>
      <c r="H68" s="7" t="s">
        <v>61</v>
      </c>
      <c r="I68" s="4" t="s">
        <v>369</v>
      </c>
    </row>
    <row r="69" spans="1:9" ht="43.5" x14ac:dyDescent="0.35">
      <c r="A69" s="4" t="s">
        <v>370</v>
      </c>
      <c r="B69" s="4" t="s">
        <v>371</v>
      </c>
      <c r="C69" s="4" t="s">
        <v>372</v>
      </c>
      <c r="D69" s="4" t="s">
        <v>26</v>
      </c>
      <c r="E69" s="4" t="s">
        <v>373</v>
      </c>
      <c r="F69" s="4" t="s">
        <v>374</v>
      </c>
      <c r="G69" s="5" t="s">
        <v>29</v>
      </c>
      <c r="H69" s="7" t="s">
        <v>61</v>
      </c>
      <c r="I69" s="4" t="s">
        <v>375</v>
      </c>
    </row>
    <row r="70" spans="1:9" ht="43.5" x14ac:dyDescent="0.35">
      <c r="A70" s="4" t="s">
        <v>376</v>
      </c>
      <c r="B70" s="4" t="s">
        <v>377</v>
      </c>
      <c r="C70" s="4" t="s">
        <v>378</v>
      </c>
      <c r="D70" s="4" t="s">
        <v>379</v>
      </c>
      <c r="E70" s="4" t="s">
        <v>380</v>
      </c>
      <c r="F70" s="4" t="s">
        <v>381</v>
      </c>
      <c r="G70" s="5" t="s">
        <v>29</v>
      </c>
      <c r="H70" s="6" t="s">
        <v>30</v>
      </c>
      <c r="I70" s="4" t="s">
        <v>382</v>
      </c>
    </row>
    <row r="71" spans="1:9" ht="29" x14ac:dyDescent="0.35">
      <c r="A71" s="4" t="s">
        <v>383</v>
      </c>
      <c r="B71" s="4" t="s">
        <v>384</v>
      </c>
      <c r="C71" s="4" t="s">
        <v>385</v>
      </c>
      <c r="D71" s="4" t="s">
        <v>26</v>
      </c>
      <c r="E71" s="4" t="s">
        <v>386</v>
      </c>
      <c r="F71" s="4" t="s">
        <v>432</v>
      </c>
      <c r="G71" s="8" t="s">
        <v>79</v>
      </c>
      <c r="H71" s="7" t="s">
        <v>61</v>
      </c>
      <c r="I71" s="4" t="s">
        <v>387</v>
      </c>
    </row>
    <row r="72" spans="1:9" ht="43.5" x14ac:dyDescent="0.35">
      <c r="A72" s="4" t="s">
        <v>388</v>
      </c>
      <c r="B72" s="4" t="s">
        <v>389</v>
      </c>
      <c r="C72" s="4" t="s">
        <v>390</v>
      </c>
      <c r="D72" s="4" t="s">
        <v>26</v>
      </c>
      <c r="E72" s="4" t="s">
        <v>391</v>
      </c>
      <c r="F72" s="4" t="s">
        <v>392</v>
      </c>
      <c r="G72" s="5" t="s">
        <v>29</v>
      </c>
      <c r="H72" s="7" t="s">
        <v>61</v>
      </c>
      <c r="I72" s="4" t="s">
        <v>393</v>
      </c>
    </row>
    <row r="73" spans="1:9" ht="43.5" x14ac:dyDescent="0.35">
      <c r="A73" s="4" t="s">
        <v>394</v>
      </c>
      <c r="B73" s="4" t="s">
        <v>395</v>
      </c>
      <c r="C73" s="4" t="s">
        <v>396</v>
      </c>
      <c r="D73" s="4" t="s">
        <v>26</v>
      </c>
      <c r="E73" s="4" t="s">
        <v>397</v>
      </c>
      <c r="F73" s="4" t="s">
        <v>398</v>
      </c>
      <c r="G73" s="5" t="s">
        <v>29</v>
      </c>
      <c r="H73" s="7" t="s">
        <v>61</v>
      </c>
      <c r="I73" s="4" t="s">
        <v>120</v>
      </c>
    </row>
    <row r="74" spans="1:9" ht="43.5" x14ac:dyDescent="0.35">
      <c r="A74" s="4" t="s">
        <v>399</v>
      </c>
      <c r="B74" s="4" t="s">
        <v>400</v>
      </c>
      <c r="C74" s="4" t="s">
        <v>401</v>
      </c>
      <c r="D74" s="4" t="s">
        <v>26</v>
      </c>
      <c r="E74" s="4" t="s">
        <v>402</v>
      </c>
      <c r="F74" s="4" t="s">
        <v>403</v>
      </c>
      <c r="G74" s="5" t="s">
        <v>29</v>
      </c>
      <c r="H74" s="6" t="s">
        <v>30</v>
      </c>
      <c r="I74" s="4" t="s">
        <v>404</v>
      </c>
    </row>
    <row r="75" spans="1:9" ht="29" x14ac:dyDescent="0.35">
      <c r="A75" s="4" t="s">
        <v>405</v>
      </c>
      <c r="B75" s="4" t="s">
        <v>406</v>
      </c>
      <c r="C75" s="4" t="s">
        <v>407</v>
      </c>
      <c r="D75" s="4" t="s">
        <v>26</v>
      </c>
      <c r="E75" s="4" t="s">
        <v>408</v>
      </c>
      <c r="F75" s="4" t="s">
        <v>408</v>
      </c>
      <c r="G75" s="5" t="s">
        <v>29</v>
      </c>
      <c r="H75" s="7" t="s">
        <v>61</v>
      </c>
      <c r="I75" s="4" t="s">
        <v>409</v>
      </c>
    </row>
    <row r="76" spans="1:9" ht="29" x14ac:dyDescent="0.35">
      <c r="A76" s="4" t="s">
        <v>410</v>
      </c>
      <c r="B76" s="4" t="s">
        <v>411</v>
      </c>
      <c r="C76" s="4" t="s">
        <v>412</v>
      </c>
      <c r="D76" s="4" t="s">
        <v>26</v>
      </c>
      <c r="E76" s="4" t="s">
        <v>413</v>
      </c>
      <c r="F76" s="4" t="s">
        <v>413</v>
      </c>
      <c r="G76" s="5" t="s">
        <v>29</v>
      </c>
      <c r="H76" s="7" t="s">
        <v>61</v>
      </c>
      <c r="I76" s="4" t="s">
        <v>414</v>
      </c>
    </row>
    <row r="77" spans="1:9" ht="43.5" x14ac:dyDescent="0.35">
      <c r="A77" s="4" t="s">
        <v>415</v>
      </c>
      <c r="B77" s="4" t="s">
        <v>416</v>
      </c>
      <c r="C77" s="4" t="s">
        <v>417</v>
      </c>
      <c r="D77" s="4" t="s">
        <v>418</v>
      </c>
      <c r="E77" s="4" t="s">
        <v>419</v>
      </c>
      <c r="F77" s="4" t="s">
        <v>420</v>
      </c>
      <c r="G77" s="10" t="s">
        <v>26</v>
      </c>
      <c r="H77" s="9" t="s">
        <v>174</v>
      </c>
      <c r="I77" s="4" t="s">
        <v>421</v>
      </c>
    </row>
    <row r="80" spans="1:9" x14ac:dyDescent="0.35">
      <c r="A80" s="15" t="s">
        <v>422</v>
      </c>
      <c r="B80" s="15"/>
      <c r="C80" s="15"/>
    </row>
    <row r="81" spans="1:2" x14ac:dyDescent="0.35">
      <c r="A81" s="2" t="s">
        <v>423</v>
      </c>
      <c r="B81">
        <f>COUNTA(A10:A77)</f>
        <v>68</v>
      </c>
    </row>
    <row r="82" spans="1:2" x14ac:dyDescent="0.35">
      <c r="A82" s="2" t="s">
        <v>424</v>
      </c>
      <c r="B82">
        <f>COUNTIF(H10:H77,"P0")</f>
        <v>26</v>
      </c>
    </row>
    <row r="83" spans="1:2" x14ac:dyDescent="0.35">
      <c r="A83" s="2" t="s">
        <v>425</v>
      </c>
      <c r="B83">
        <f>COUNTIF(H10:H77,"P1")</f>
        <v>37</v>
      </c>
    </row>
    <row r="84" spans="1:2" x14ac:dyDescent="0.35">
      <c r="A84" s="2" t="s">
        <v>426</v>
      </c>
      <c r="B84">
        <f>COUNTIF(H10:H77,"P2")</f>
        <v>5</v>
      </c>
    </row>
    <row r="85" spans="1:2" x14ac:dyDescent="0.35">
      <c r="A85" s="2" t="s">
        <v>427</v>
      </c>
      <c r="B85" s="11">
        <f>COUNTIF(G10:G77,"Pass")</f>
        <v>59</v>
      </c>
    </row>
    <row r="86" spans="1:2" x14ac:dyDescent="0.35">
      <c r="A86" s="2" t="s">
        <v>428</v>
      </c>
      <c r="B86" s="12">
        <f>COUNTIF(G10:G77,"Fail")</f>
        <v>8</v>
      </c>
    </row>
    <row r="87" spans="1:2" x14ac:dyDescent="0.35">
      <c r="A87" s="2" t="s">
        <v>429</v>
      </c>
      <c r="B87" s="13">
        <f>COUNTIF(G10:G77,"N/A")</f>
        <v>1</v>
      </c>
    </row>
    <row r="88" spans="1:2" x14ac:dyDescent="0.35">
      <c r="A88" s="2" t="s">
        <v>430</v>
      </c>
      <c r="B88" s="13">
        <f>COUNTIF(G10:G77,"Not Executed")</f>
        <v>0</v>
      </c>
    </row>
    <row r="89" spans="1:2" x14ac:dyDescent="0.35">
      <c r="A89" s="2" t="s">
        <v>431</v>
      </c>
      <c r="B89" t="str">
        <f>ROUND(B85/(B81-B87)*100,1)&amp;"%"</f>
        <v>88.1%</v>
      </c>
    </row>
  </sheetData>
  <mergeCells count="1">
    <mergeCell ref="A80:C8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 Us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Lohith Harish</cp:lastModifiedBy>
  <cp:revision>0</cp:revision>
  <dcterms:created xsi:type="dcterms:W3CDTF">2026-03-11T13:37:34Z</dcterms:created>
  <dcterms:modified xsi:type="dcterms:W3CDTF">2026-03-16T03:29:19Z</dcterms:modified>
  <dc:language>en-US</dc:language>
</cp:coreProperties>
</file>