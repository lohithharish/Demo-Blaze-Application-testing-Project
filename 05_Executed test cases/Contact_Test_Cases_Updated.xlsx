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 Page Test Cases" sheetId="1" state="visible" r:id="rId3"/>
    <sheet name="Emp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<sst xmlns="http://schemas.openxmlformats.org/spreadsheetml/2006/main" count="663" uniqueCount="487">
  <si>
    <t xml:space="preserve">Test Scenario ID</t>
  </si>
  <si>
    <t xml:space="preserve">TS_007</t>
  </si>
  <si>
    <t xml:space="preserve">Test Scenario Name</t>
  </si>
  <si>
    <t xml:space="preserve">Validate Contact Page Functionality</t>
  </si>
  <si>
    <t xml:space="preserve">Project</t>
  </si>
  <si>
    <t xml:space="preserve">DemoBlaze Product Store</t>
  </si>
  <si>
    <t xml:space="preserve">Module</t>
  </si>
  <si>
    <t xml:space="preserve">Contact Us - Communication</t>
  </si>
  <si>
    <t xml:space="preserve">Created By</t>
  </si>
  <si>
    <t xml:space="preserve">MH Lohith</t>
  </si>
  <si>
    <t xml:space="preserve">Creation Date</t>
  </si>
  <si>
    <t xml:space="preserve">08-03-2026</t>
  </si>
  <si>
    <t xml:space="preserve">Execution Date</t>
  </si>
  <si>
    <t xml:space="preserve">12-03-2026</t>
  </si>
  <si>
    <t xml:space="preserve">Test Case ID</t>
  </si>
  <si>
    <t xml:space="preserve">Test Case Description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</si>
  <si>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</si>
  <si>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</si>
  <si>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</si>
  <si>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</si>
  <si>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</si>
  <si>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</si>
  <si>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</si>
  <si>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TC_CT_001</t>
  </si>
  <si>
    <t xml:space="preserve">Verify Contact modal opens successfully</t>
  </si>
  <si>
    <t xml:space="preserve">1. Navigate to application
2. Click 'Contact' link in navigation
3. Observe modal display</t>
  </si>
  <si>
    <t xml:space="preserve">N/A</t>
  </si>
  <si>
    <t xml:space="preserve">1. Modal opens with 'New message' title
2. All form fields visible
3. Modal centered on screen
4. Background dimmed/overlay visible</t>
  </si>
  <si>
    <t xml:space="preserve">Clicking 'Contact' in navbar opens a Bootstrap 3 modal immediately; modal is centered on screen with a dimmed grey backdrop overlay; title 'New message' displayed in modal header; Contact Email, Contact Name, and Message fields all visible</t>
  </si>
  <si>
    <t xml:space="preserve">Pass</t>
  </si>
  <si>
    <t xml:space="preserve">P0</t>
  </si>
  <si>
    <t xml:space="preserve">Basic modal functionality</t>
  </si>
  <si>
    <t xml:space="preserve">TC_CT_002</t>
  </si>
  <si>
    <t xml:space="preserve">Verify Contact modal title displays correctly</t>
  </si>
  <si>
    <t xml:space="preserve">1. Click 'Contact' link
2. Check modal header
3. Verify title text</t>
  </si>
  <si>
    <t xml:space="preserve">Modal title displays: 'New message'</t>
  </si>
  <si>
    <t xml:space="preserve">Modal header displays exactly 'New message' as the title in bold text; title is correctly positioned in the Bootstrap modal header bar</t>
  </si>
  <si>
    <t xml:space="preserve">UI element validation</t>
  </si>
  <si>
    <t xml:space="preserve">TC_CT_003</t>
  </si>
  <si>
    <t xml:space="preserve">Verify all form fields are present</t>
  </si>
  <si>
    <t xml:space="preserve">1. Open Contact modal
2. Check for all required fields
3. Verify field labels</t>
  </si>
  <si>
    <t xml:space="preserve">1. 'Contact Email:' field present
2. 'Contact Name:' field present
3. 'Message:' field present
4. All labels properly displayed</t>
  </si>
  <si>
    <t xml:space="preserve">All three form fields present in the modal: 'Contact Email:' input field, 'Contact Name:' input field, 'Message:' textarea field; all labels and fields render correctly</t>
  </si>
  <si>
    <t xml:space="preserve">Form completeness</t>
  </si>
  <si>
    <t xml:space="preserve">TC_CT_004</t>
  </si>
  <si>
    <t xml:space="preserve">Verify form field labels are correct</t>
  </si>
  <si>
    <t xml:space="preserve">1. Open Contact modal
2. Read each field label
3. Verify text accuracy</t>
  </si>
  <si>
    <t xml:space="preserve">Labels display exactly: 'Contact Email:', 'Contact Name:', 'Message:'</t>
  </si>
  <si>
    <t xml:space="preserve">Field labels display correctly: 'Contact Email:' above the email input, 'Contact Name:' above the name input, 'Message:' above the textarea; labels are accurate and match the expected text exactly</t>
  </si>
  <si>
    <t xml:space="preserve">P1</t>
  </si>
  <si>
    <t xml:space="preserve">Label accuracy</t>
  </si>
  <si>
    <t xml:space="preserve">TC_CT_005</t>
  </si>
  <si>
    <t xml:space="preserve">Verify 'Send message' and 'Close' buttons are present</t>
  </si>
  <si>
    <t xml:space="preserve">1. Open Contact modal
2. Check bottom of modal
3. Verify both buttons</t>
  </si>
  <si>
    <t xml:space="preserve">1. 'Send message' button visible (blue)
2. 'Close' button visible (white/gray)
3. Buttons properly styled</t>
  </si>
  <si>
    <t xml:space="preserve">Both action buttons present at modal bottom: 'Send message' button (blue/primary styling) on the right, 'Close' button (grey/default styling) on the left; both properly styled with Bootstrap button classes</t>
  </si>
  <si>
    <t xml:space="preserve">Button presence</t>
  </si>
  <si>
    <t xml:space="preserve">TC_CT_006</t>
  </si>
  <si>
    <t xml:space="preserve">Verify 'X' close icon is present</t>
  </si>
  <si>
    <t xml:space="preserve">1. Open Contact modal
2. Check top-right corner
3. Verify close icon</t>
  </si>
  <si>
    <t xml:space="preserve">'X' close icon visible in top-right corner</t>
  </si>
  <si>
    <t xml:space="preserve">'×' close icon is visible in the top-right corner of the modal header; icon is correctly styled and positioned per Bootstrap 3 modal standard</t>
  </si>
  <si>
    <t xml:space="preserve">Modal close option</t>
  </si>
  <si>
    <t xml:space="preserve">TC_CT_007</t>
  </si>
  <si>
    <t xml:space="preserve">Verify successful message submission with all valid data</t>
  </si>
  <si>
    <t xml:space="preserve">1. Click 'Contact' link
2. Enter valid email
3. Enter valid name
4. Enter valid message
5. Click 'Send message'</t>
  </si>
  <si>
    <t xml:space="preserve">Email: test@example.com
Name: John Doe
Message: This is a test message.</t>
  </si>
  <si>
    <t xml:space="preserve">1. Success message displayed
2. Modal closes OR form clears
3. Message sent successfully
4. User receives confirmation</t>
  </si>
  <si>
    <t xml:space="preserve">Submitted form with Email: test@example.com, Name: John Doe, Message: 'This is a test message.' — browser native alert immediately shows 'Thanks for the message!!' ; modal remains open after dismissing alert; message submitted successfully</t>
  </si>
  <si>
    <t xml:space="preserve">Happy path - valid submission</t>
  </si>
  <si>
    <t xml:space="preserve">TC_CT_008</t>
  </si>
  <si>
    <t xml:space="preserve">Verify submission with minimum valid data</t>
  </si>
  <si>
    <t xml:space="preserve">1. Open Contact modal
2. Enter minimal valid email
3. Enter single character name
4. Enter short message
5. Submit</t>
  </si>
  <si>
    <t xml:space="preserve">Email: a@b.c
Name: A
Message: Hi</t>
  </si>
  <si>
    <t xml:space="preserve">Form submits successfully with minimal valid data</t>
  </si>
  <si>
    <t xml:space="preserve">Submitted with minimal data: Email: a@b.c, Name: A, Message: Hi — form submits successfully; 'Thanks for the message!!' alert shown; minimal valid data accepted without errors</t>
  </si>
  <si>
    <t xml:space="preserve">Boundary - minimum length</t>
  </si>
  <si>
    <t xml:space="preserve">TC_CT_009</t>
  </si>
  <si>
    <t xml:space="preserve">Verify submission with maximum length data</t>
  </si>
  <si>
    <t xml:space="preserve">1. Open Contact modal
2. Enter long email
3. Enter long name
4. Enter very long message
5. Submit</t>
  </si>
  <si>
    <t xml:space="preserve">Email: verylongemail@example.com
Name: Very Long Name Example
Message: 500+ character message</t>
  </si>
  <si>
    <t xml:space="preserve">Form accepts and submits long data OR shows character limit</t>
  </si>
  <si>
    <t xml:space="preserve">Submitted with very long data (500+ char message, long email, long name) — all fields accepted without truncation or character limit error; form submits successfully; no maximum length restriction enforced</t>
  </si>
  <si>
    <t xml:space="preserve">Boundary - maximum length</t>
  </si>
  <si>
    <t xml:space="preserve">TC_CT_010</t>
  </si>
  <si>
    <t xml:space="preserve">Verify submission with special characters in message</t>
  </si>
  <si>
    <t xml:space="preserve">1. Open Contact modal
2. Fill all fields
3. Enter message with special chars
4. Submit</t>
  </si>
  <si>
    <t xml:space="preserve">Email: test@example.com
Name: Test User
Message: !@#$%^&amp;*()_+-=[]{}|;:',.&lt;&gt;?</t>
  </si>
  <si>
    <t xml:space="preserve">Form accepts special characters in message field</t>
  </si>
  <si>
    <t xml:space="preserve">Special characters in message field (!@#$%^&amp;*()_+-=[]{}|;:',.&lt;&gt;?) — all special characters accepted and submitted; 'Thanks for the message!!' alert shown; no encoding errors</t>
  </si>
  <si>
    <t xml:space="preserve">Special character handling</t>
  </si>
  <si>
    <t xml:space="preserve">TC_CT_011</t>
  </si>
  <si>
    <t xml:space="preserve">Verify submission with line breaks in message</t>
  </si>
  <si>
    <t xml:space="preserve">1. Open Contact modal
2. Fill all fields
3. Enter multi-line message with Enter key
4. Submit</t>
  </si>
  <si>
    <t xml:space="preserve">Email: test@example.com
Name: Test User
Message: Line 1
Line 2
Line 3</t>
  </si>
  <si>
    <t xml:space="preserve">Form accepts and preserves line breaks in message</t>
  </si>
  <si>
    <t xml:space="preserve">Multi-line message with line breaks (Enter key in textarea) — textarea allows multiple lines; text wraps correctly; line breaks preserved in field; form submits successfully</t>
  </si>
  <si>
    <t xml:space="preserve">Multi-line message support</t>
  </si>
  <si>
    <t xml:space="preserve">TC_CT_012</t>
  </si>
  <si>
    <t xml:space="preserve">Verify error when email field is empty</t>
  </si>
  <si>
    <t xml:space="preserve">1. Open Contact modal
2. Leave email field blank
3. Enter name and message
4. Click 'Send message'</t>
  </si>
  <si>
    <t xml:space="preserve">Email: [Empty]
Name: John Doe
Message: Test message</t>
  </si>
  <si>
    <t xml:space="preserve">1. Error message displayed
2. Form not submitted
3. Email field highlighted or marked as required</t>
  </si>
  <si>
    <t xml:space="preserve">Submitted with empty email field (Name: John Doe, Message: Test message) — NO validation error shown; form submits and 'Thanks for the message!!' alert appears; empty email is accepted — missing required field validation</t>
  </si>
  <si>
    <t xml:space="preserve">Fail</t>
  </si>
  <si>
    <t xml:space="preserve">Required field validation - email</t>
  </si>
  <si>
    <t xml:space="preserve">TC_CT_013</t>
  </si>
  <si>
    <t xml:space="preserve">Verify error with invalid email format (no @)</t>
  </si>
  <si>
    <t xml:space="preserve">1. Open Contact modal
2. Enter email without @ symbol
3. Fill other fields
4. Submit</t>
  </si>
  <si>
    <t xml:space="preserve">Email: invalidemail.com
Name: John Doe
Message: Test message</t>
  </si>
  <si>
    <t xml:space="preserve">1. Error: 'Please enter a valid email address'
2. Form not submitted</t>
  </si>
  <si>
    <t xml:space="preserve">Submitted with invalid email 'invalidemail.com' (no @ symbol) — NO error message displayed; form accepts and submits the invalid email; 'Thanks for the message!!' alert shown — email format validation absent</t>
  </si>
  <si>
    <t xml:space="preserve">Email format validation</t>
  </si>
  <si>
    <t xml:space="preserve">TC_CT_014</t>
  </si>
  <si>
    <t xml:space="preserve">Verify error with invalid email format (no domain)</t>
  </si>
  <si>
    <t xml:space="preserve">1. Open Contact modal
2. Enter email without domain
3. Fill other fields
4. Submit</t>
  </si>
  <si>
    <t xml:space="preserve">Email: test@
Name: John Doe
Message: Test message</t>
  </si>
  <si>
    <t xml:space="preserve">Error displayed, form not submitted</t>
  </si>
  <si>
    <t xml:space="preserve">Submitted with email 'test@' (no domain) — NO validation error; form accepts 'test@' as a valid email and submits; alert shown — missing domain validation</t>
  </si>
  <si>
    <t xml:space="preserve">TC_CT_015</t>
  </si>
  <si>
    <t xml:space="preserve">Verify error with invalid email format (spaces)</t>
  </si>
  <si>
    <t xml:space="preserve">1. Open Contact modal
2. Enter email with spaces
3. Fill other fields
4. Submit</t>
  </si>
  <si>
    <t xml:space="preserve">Email: test user@example.com
Name: John Doe
Message: Test message</t>
  </si>
  <si>
    <t xml:space="preserve">Submitted with email containing spaces 'test user@example.com' — NO error shown; email with spaces is accepted and submitted; no whitespace validation on email field</t>
  </si>
  <si>
    <t xml:space="preserve">TC_CT_016</t>
  </si>
  <si>
    <t xml:space="preserve">Verify error with email containing only spaces</t>
  </si>
  <si>
    <t xml:space="preserve">1. Open Contact modal
2. Enter only spaces in email field
3. Fill other fields
4. Submit</t>
  </si>
  <si>
    <t xml:space="preserve">Email: '     '
Name: John Doe
Message: Test message</t>
  </si>
  <si>
    <t xml:space="preserve">Error displayed, treated as empty field</t>
  </si>
  <si>
    <t xml:space="preserve">Submitted with email containing only spaces '     ' — NO error shown; whitespace-only email accepted as valid input; form submits and shows success alert — no whitespace trimming or validation</t>
  </si>
  <si>
    <t xml:space="preserve">Empty space validation</t>
  </si>
  <si>
    <t xml:space="preserve">TC_CT_017</t>
  </si>
  <si>
    <t xml:space="preserve">Verify error when name field is empty</t>
  </si>
  <si>
    <t xml:space="preserve">1. Open Contact modal
2. Enter valid email
3. Leave name field blank
4. Enter message
5. Submit</t>
  </si>
  <si>
    <t xml:space="preserve">Email: test@example.com
Name: [Empty]
Message: Test message</t>
  </si>
  <si>
    <t xml:space="preserve">1. Error message displayed
2. Form not submitted
3. Name field highlighted</t>
  </si>
  <si>
    <t xml:space="preserve">Submitted with empty name field (Email: test@example.com, Message: Test) — NO validation error; empty name accepted; 'Thanks for the message!!' shown — missing required name validation</t>
  </si>
  <si>
    <t xml:space="preserve">Required field validation - name</t>
  </si>
  <si>
    <t xml:space="preserve">TC_CT_018</t>
  </si>
  <si>
    <t xml:space="preserve">Verify error with name containing only spaces</t>
  </si>
  <si>
    <t xml:space="preserve">1. Open Contact modal
2. Fill email
3. Enter only spaces in name
4. Fill message
5. Submit</t>
  </si>
  <si>
    <t xml:space="preserve">Email: test@example.com
Name: '     '
Message: Test message</t>
  </si>
  <si>
    <t xml:space="preserve">Submitted with name containing only spaces '     ' — NO error; whitespace-only name accepted and submitted without validation; success alert shown — no whitespace trimming or required field check</t>
  </si>
  <si>
    <t xml:space="preserve">Empty space validation - name</t>
  </si>
  <si>
    <t xml:space="preserve">TC_CT_019</t>
  </si>
  <si>
    <t xml:space="preserve">Verify name field accepts special characters</t>
  </si>
  <si>
    <t xml:space="preserve">1. Open Contact modal
2. Fill all fields
3. Enter name with special chars
4. Submit</t>
  </si>
  <si>
    <t xml:space="preserve">Email: test@example.com
Name: O'Brien-Smith Jr.
Message: Test message</t>
  </si>
  <si>
    <t xml:space="preserve">Name with valid special characters accepted (apostrophes, hyphens, periods)</t>
  </si>
  <si>
    <t xml:space="preserve">Submitted with name containing special characters "O'Brien-Smith Jr." — name accepted without error; form submits; apostrophes, hyphens, and periods in names handled correctly</t>
  </si>
  <si>
    <t xml:space="preserve">Name format validation</t>
  </si>
  <si>
    <t xml:space="preserve">TC_CT_020</t>
  </si>
  <si>
    <t xml:space="preserve">Verify name field with numbers</t>
  </si>
  <si>
    <t xml:space="preserve">1. Open Contact modal
2. Fill all fields
3. Enter name with numbers
4. Submit</t>
  </si>
  <si>
    <t xml:space="preserve">Email: test@example.com
Name: John123
Message: Test message</t>
  </si>
  <si>
    <t xml:space="preserve">Form accepts OR rejects based on business rules</t>
  </si>
  <si>
    <t xml:space="preserve">Submitted with name 'John123' containing numbers — name accepted without error; alphanumeric names supported; form submits successfully with numbered name</t>
  </si>
  <si>
    <t xml:space="preserve">P2</t>
  </si>
  <si>
    <t xml:space="preserve">Alphanumeric name handling</t>
  </si>
  <si>
    <t xml:space="preserve">TC_CT_021</t>
  </si>
  <si>
    <t xml:space="preserve">Verify error when message field is empty</t>
  </si>
  <si>
    <t xml:space="preserve">1. Open Contact modal
2. Enter valid email and name
3. Leave message field blank
4. Submit</t>
  </si>
  <si>
    <t xml:space="preserve">Email: test@example.com
Name: John Doe
Message: [Empty]</t>
  </si>
  <si>
    <t xml:space="preserve">1. Error message displayed
2. Form not submitted
3. Message field highlighted</t>
  </si>
  <si>
    <t xml:space="preserve">Submitted with empty message field (Email: test@example.com, Name: John Doe) — NO validation error; empty message accepted and submitted; success alert shown — missing required message validation</t>
  </si>
  <si>
    <t xml:space="preserve">Required field validation - message</t>
  </si>
  <si>
    <t xml:space="preserve">TC_CT_022</t>
  </si>
  <si>
    <t xml:space="preserve">Verify error with message containing only spaces</t>
  </si>
  <si>
    <t xml:space="preserve">1. Open Contact modal
2. Fill email and name
3. Enter only spaces in message
4. Submit</t>
  </si>
  <si>
    <t xml:space="preserve">Email: test@example.com
Name: John Doe
Message: '     '</t>
  </si>
  <si>
    <t xml:space="preserve">Submitted with message containing only spaces '     ' — NO error; whitespace-only message accepted and submitted; no trimming or empty-check validation on message field</t>
  </si>
  <si>
    <t xml:space="preserve">Empty space validation - message</t>
  </si>
  <si>
    <t xml:space="preserve">TC_CT_023</t>
  </si>
  <si>
    <t xml:space="preserve">Verify message field character limit (if exists)</t>
  </si>
  <si>
    <t xml:space="preserve">1. Open Contact modal
2. Fill email and name
3. Type extremely long message (5000+ chars)
4. Check behavior</t>
  </si>
  <si>
    <t xml:space="preserve">Email: test@example.com
Name: John Doe
Message: [5000+ characters]</t>
  </si>
  <si>
    <t xml:space="preserve">Character limit enforced OR all text accepted based on design</t>
  </si>
  <si>
    <t xml:space="preserve">Typed 5000+ character message in textarea — no character limit enforced; all characters accepted; textarea scrolls vertically to accommodate content; form submits without truncation</t>
  </si>
  <si>
    <t xml:space="preserve">Message length handling</t>
  </si>
  <si>
    <t xml:space="preserve">TC_CT_024</t>
  </si>
  <si>
    <t xml:space="preserve">Verify error when all fields are empty</t>
  </si>
  <si>
    <t xml:space="preserve">1. Open Contact modal
2. Leave all fields blank
3. Click 'Send message'</t>
  </si>
  <si>
    <t xml:space="preserve">Email: [Empty]
Name: [Empty]
Message: [Empty]</t>
  </si>
  <si>
    <t xml:space="preserve">1. Error message displayed
2. All fields highlighted
3. Form not submitted</t>
  </si>
  <si>
    <t xml:space="preserve">Clicked 'Send message' with all three fields completely empty — NO validation error shown for any field; form submits with all empty values; 'Thanks for the message!!' alert displayed — critical: no required field validation implemented anywhere</t>
  </si>
  <si>
    <t xml:space="preserve">All empty fields validation</t>
  </si>
  <si>
    <t xml:space="preserve">TC_CT_025</t>
  </si>
  <si>
    <t xml:space="preserve">Verify error when only email is filled</t>
  </si>
  <si>
    <t xml:space="preserve">1. Open Contact modal
2. Enter only email
3. Leave name and message empty
4. Submit</t>
  </si>
  <si>
    <t xml:space="preserve">Email: test@example.com
Name: [Empty]
Message: [Empty]</t>
  </si>
  <si>
    <t xml:space="preserve">Error displayed for missing required fields</t>
  </si>
  <si>
    <t xml:space="preserve">Submitted with only email filled (test@example.com), name and message empty — form submits without error; success alert shown; no validation to require name or message when only email provided</t>
  </si>
  <si>
    <t xml:space="preserve">Partial form validation</t>
  </si>
  <si>
    <t xml:space="preserve">TC_CT_026</t>
  </si>
  <si>
    <t xml:space="preserve">Verify error when only name is filled</t>
  </si>
  <si>
    <t xml:space="preserve">1. Open Contact modal
2. Enter only name
3. Leave email and message empty
4. Submit</t>
  </si>
  <si>
    <t xml:space="preserve">Email: [Empty]
Name: John Doe
Message: [Empty]</t>
  </si>
  <si>
    <t xml:space="preserve">Submitted with only name filled (John Doe), email and message empty — form submits without error; success alert shown; no validation to require email or message</t>
  </si>
  <si>
    <t xml:space="preserve">TC_CT_027</t>
  </si>
  <si>
    <t xml:space="preserve">Verify 'Close' button closes the modal</t>
  </si>
  <si>
    <t xml:space="preserve">1. Open Contact modal
2. Enter some data
3. Click 'Close' button</t>
  </si>
  <si>
    <t xml:space="preserve">1. Modal closes
2. Data not saved
3. User returns to previous page</t>
  </si>
  <si>
    <t xml:space="preserve">Clicked 'Close' button while modal had typed data — modal closes immediately; data in fields is discarded; user returns to page background; no confirmation prompt before discarding unsaved input</t>
  </si>
  <si>
    <t xml:space="preserve">Cancel functionality</t>
  </si>
  <si>
    <t xml:space="preserve">TC_CT_028</t>
  </si>
  <si>
    <t xml:space="preserve">Verify 'X' icon closes the modal</t>
  </si>
  <si>
    <t xml:space="preserve">1. Open Contact modal
2. Enter some data
3. Click 'X' icon in top-right</t>
  </si>
  <si>
    <t xml:space="preserve">Clicked '×' icon in top-right while modal had typed data — modal closes immediately; fields data discarded; functionally identical to 'Close' button</t>
  </si>
  <si>
    <t xml:space="preserve">Alternative close method</t>
  </si>
  <si>
    <t xml:space="preserve">TC_CT_029</t>
  </si>
  <si>
    <t xml:space="preserve">Verify clicking outside modal closes it (if applicable)</t>
  </si>
  <si>
    <t xml:space="preserve">1. Open Contact modal
2. Click on dimmed background area
3. Observe behavior</t>
  </si>
  <si>
    <t xml:space="preserve">Modal closes OR remains open based on design</t>
  </si>
  <si>
    <t xml:space="preserve">Clicked on dimmed backdrop outside modal — modal closes immediately (Bootstrap 3 default backdrop dismiss behaviour); data discarded; user returns to page</t>
  </si>
  <si>
    <t xml:space="preserve">Modal backdrop behavior</t>
  </si>
  <si>
    <t xml:space="preserve">TC_CT_030</t>
  </si>
  <si>
    <t xml:space="preserve">Verify ESC key closes the modal</t>
  </si>
  <si>
    <t xml:space="preserve">1. Open Contact modal
2. Press ESC key
3. Observe behavior</t>
  </si>
  <si>
    <t xml:space="preserve">Modal closes when ESC key pressed</t>
  </si>
  <si>
    <t xml:space="preserve">Pressed ESC key while Contact modal was open — modal closes immediately (Bootstrap 3 keyboard dismiss behaviour); data in fields discarded</t>
  </si>
  <si>
    <t xml:space="preserve">Keyboard shortcut - ESC</t>
  </si>
  <si>
    <t xml:space="preserve">TC_CT_031</t>
  </si>
  <si>
    <t xml:space="preserve">Verify form data is cleared when modal reopens</t>
  </si>
  <si>
    <t xml:space="preserve">1. Open Contact modal
2. Enter data
3. Close modal
4. Reopen Contact modal
5. Check fields</t>
  </si>
  <si>
    <t xml:space="preserve">Email: test@example.com
Name: John Doe
Message: Test</t>
  </si>
  <si>
    <t xml:space="preserve">All fields are empty/cleared when modal reopens</t>
  </si>
  <si>
    <t xml:space="preserve">Opened modal, typed data, closed via 'Close' button, then reopened 'Contact' — all fields are empty/cleared when modal reopens; previous session data not retained between modal open/close cycles</t>
  </si>
  <si>
    <t xml:space="preserve">Form reset behavior</t>
  </si>
  <si>
    <t xml:space="preserve">TC_CT_032</t>
  </si>
  <si>
    <t xml:space="preserve">Verify field placeholder text (if exists)</t>
  </si>
  <si>
    <t xml:space="preserve">1. Open Contact modal
2. Check each field for placeholder
3. Verify placeholder text</t>
  </si>
  <si>
    <t xml:space="preserve">Appropriate placeholder text displayed in fields (if implemented)</t>
  </si>
  <si>
    <t xml:space="preserve">No placeholder text in any field — Contact Email, Contact Name, and Message fields are blank by default with no placeholder hint text; only the label above each field indicates the field purpose</t>
  </si>
  <si>
    <t xml:space="preserve">UI - placeholder text</t>
  </si>
  <si>
    <t xml:space="preserve">TC_CT_033</t>
  </si>
  <si>
    <t xml:space="preserve">Verify field focus states</t>
  </si>
  <si>
    <t xml:space="preserve">1. Open Contact modal
2. Click on each field
3. Observe visual feedback</t>
  </si>
  <si>
    <t xml:space="preserve">1. Fields show focus indicator (border highlight)
2. Cursor appears in field
3. Visual feedback clear</t>
  </si>
  <si>
    <t xml:space="preserve">Clicking on each field shows Bootstrap focus state — blue border highlight appears around the active field; cursor appears and blinks inside input; standard Bootstrap 3 focus styling applied correctly</t>
  </si>
  <si>
    <t xml:space="preserve">UI - focus states</t>
  </si>
  <si>
    <t xml:space="preserve">TC_CT_034</t>
  </si>
  <si>
    <t xml:space="preserve">Verify tab navigation through form fields</t>
  </si>
  <si>
    <t xml:space="preserve">1. Open Contact modal
2. Press Tab key repeatedly
3. Observe focus movement</t>
  </si>
  <si>
    <t xml:space="preserve">1. Tab moves focus: Email → Name → Message → Send message → Close
2. Logical tab order
3. Focus visible</t>
  </si>
  <si>
    <t xml:space="preserve">Tab navigation through Contact modal: Tab moves focus in order Email → Name → Message → Send message button → Close button; logical reading order maintained; focus indicator visible on each element</t>
  </si>
  <si>
    <t xml:space="preserve">Keyboard navigation</t>
  </si>
  <si>
    <t xml:space="preserve">TC_CT_035</t>
  </si>
  <si>
    <t xml:space="preserve">Verify Enter key in text fields</t>
  </si>
  <si>
    <t xml:space="preserve">1. Open Contact modal
2. Fill email field
3. Press Enter
4. Check behavior</t>
  </si>
  <si>
    <t xml:space="preserve">Email: test@example.com</t>
  </si>
  <si>
    <t xml:space="preserve">Enter key moves to next field OR submits form based on design</t>
  </si>
  <si>
    <t xml:space="preserve">Pressing Enter in email field: moves cursor to next line within input (standard browser behaviour — does not submit form); Enter in textarea adds a new line; form not submitted by Enter alone</t>
  </si>
  <si>
    <t xml:space="preserve">Enter key behavior</t>
  </si>
  <si>
    <t xml:space="preserve">TC_CT_036</t>
  </si>
  <si>
    <t xml:space="preserve">Verify message field is a textarea (multi-line)</t>
  </si>
  <si>
    <t xml:space="preserve">1. Open Contact modal
2. Click in message field
3. Type long text
4. Observe text wrapping</t>
  </si>
  <si>
    <t xml:space="preserve">1. Message field allows multiple lines
2. Text wraps within field
3. Scrollbar appears if needed</t>
  </si>
  <si>
    <t xml:space="preserve">Message field is a &lt;textarea&gt; element — supports multi-line input; text wraps within the field; vertical scrollbar appears when content exceeds visible area</t>
  </si>
  <si>
    <t xml:space="preserve">Textarea functionality</t>
  </si>
  <si>
    <t xml:space="preserve">TC_CT_037</t>
  </si>
  <si>
    <t xml:space="preserve">Verify message field resize handle (if present)</t>
  </si>
  <si>
    <t xml:space="preserve">1. Open Contact modal
2. Check bottom-right of message field
3. Try to resize</t>
  </si>
  <si>
    <t xml:space="preserve">Resize handle present and functional OR disabled based on design</t>
  </si>
  <si>
    <t xml:space="preserve">Message textarea has a browser-native resize handle in the bottom-right corner (Chrome and Firefox); dragging it resizes the textarea vertically; resize functions correctly within the modal</t>
  </si>
  <si>
    <t xml:space="preserve">Textarea resize</t>
  </si>
  <si>
    <t xml:space="preserve">TC_CT_038</t>
  </si>
  <si>
    <t xml:space="preserve">Verify 'Send message' button hover effect</t>
  </si>
  <si>
    <t xml:space="preserve">1. Open Contact modal
2. Hover mouse over 'Send message' button
3. Observe visual change</t>
  </si>
  <si>
    <t xml:space="preserve">Button shows hover effect (color change, shadow, etc.)</t>
  </si>
  <si>
    <t xml:space="preserve">'Send message' button hover: background darkens to a deeper blue on hover (Bootstrap btn-primary hover state); cursor changes to pointer; visual feedback present and correct</t>
  </si>
  <si>
    <t xml:space="preserve">Button hover state</t>
  </si>
  <si>
    <t xml:space="preserve">TC_CT_039</t>
  </si>
  <si>
    <t xml:space="preserve">Verify 'Close' button hover effect</t>
  </si>
  <si>
    <t xml:space="preserve">1. Open Contact modal
2. Hover mouse over 'Close' button
3. Observe visual change</t>
  </si>
  <si>
    <t xml:space="preserve">Button shows hover effect</t>
  </si>
  <si>
    <t xml:space="preserve">'Close' button hover: button darkens slightly on hover (Bootstrap btn-default hover state); cursor changes to pointer; hover effect working correctly</t>
  </si>
  <si>
    <t xml:space="preserve">TC_CT_040</t>
  </si>
  <si>
    <t xml:space="preserve">Verify button disabled state during submission</t>
  </si>
  <si>
    <t xml:space="preserve">1. Open Contact modal
2. Fill valid data
3. Click 'Send message'
4. Observe button state</t>
  </si>
  <si>
    <t xml:space="preserve">1. Button disabled during processing
2. Loading indicator shown (optional)
3. Prevents double submission</t>
  </si>
  <si>
    <t xml:space="preserve">'Send message' button is NOT disabled during form submission — clicking multiple times rapidly sends multiple identical messages; no loading state, spinner, or button-disable during API call; double-submission vulnerability present</t>
  </si>
  <si>
    <t xml:space="preserve">Prevent double submission</t>
  </si>
  <si>
    <t xml:space="preserve">TC_CT_041</t>
  </si>
  <si>
    <t xml:space="preserve">Verify success message after submission</t>
  </si>
  <si>
    <t xml:space="preserve">1. Open Contact modal
2. Fill all fields with valid data
3. Click 'Send message'
4. Check for success message</t>
  </si>
  <si>
    <t xml:space="preserve">Email: test@example.com
Name: John Doe
Message: Test message</t>
  </si>
  <si>
    <t xml:space="preserve">1. Success message displayed (e.g., 'Thanks for the message!!')
2. Message clear and user-friendly
3. Appropriate icon/styling</t>
  </si>
  <si>
    <t xml:space="preserve">After valid submission (all fields filled), browser native alert displays: 'Thanks for the message!!' — message is clear and user-friendly; no custom styling (uses browser default alert box); alert dismissed by clicking OK</t>
  </si>
  <si>
    <t xml:space="preserve">Success feedback</t>
  </si>
  <si>
    <t xml:space="preserve">TC_CT_042</t>
  </si>
  <si>
    <t xml:space="preserve">Verify error message display format</t>
  </si>
  <si>
    <t xml:space="preserve">1. Open Contact modal
2. Submit with invalid data
3. Check error message format</t>
  </si>
  <si>
    <t xml:space="preserve">Email: invalid
Name: [Empty]
Message: [Empty]</t>
  </si>
  <si>
    <t xml:space="preserve">1. Error messages clear and specific
2. Red color or warning icon
3. Positioned near relevant field</t>
  </si>
  <si>
    <t xml:space="preserve">Error message format: NO error messages are displayed for any invalid input scenario — the form has zero client-side validation; there are no red highlights, inline error labels, or warning icons on any field under any condition</t>
  </si>
  <si>
    <t xml:space="preserve">Error message formatting</t>
  </si>
  <si>
    <t xml:space="preserve">TC_CT_043</t>
  </si>
  <si>
    <t xml:space="preserve">Verify error messages clear when corrected</t>
  </si>
  <si>
    <t xml:space="preserve">1. Submit form with errors
2. See error messages
3. Correct the errors
4. Verify errors clear</t>
  </si>
  <si>
    <t xml:space="preserve">Error messages disappear when user corrects the input</t>
  </si>
  <si>
    <t xml:space="preserve">Error messages clearing when corrected: N/A — since no validation errors are ever displayed, there are no error messages to clear; this test case cannot be meaningfully evaluated</t>
  </si>
  <si>
    <t xml:space="preserve">Error message behavior</t>
  </si>
  <si>
    <t xml:space="preserve">TC_CT_044</t>
  </si>
  <si>
    <t xml:space="preserve">Verify XSS prevention in message field</t>
  </si>
  <si>
    <t xml:space="preserve">1. Open Contact modal
2. Enter XSS script in message
3. Submit form</t>
  </si>
  <si>
    <t xml:space="preserve">Email: test@example.com
Name: Test
Message: &lt;script&gt;alert('XSS')&lt;/script&gt;</t>
  </si>
  <si>
    <t xml:space="preserve">1. Script not executed
2. Input sanitized
3. No XSS vulnerability</t>
  </si>
  <si>
    <t xml:space="preserve">XSS test: entered &lt;script&gt;alert('XSS')&lt;/script&gt; in message field — form accepted and submitted; the script was NOT executed in the browser; API receives the raw string; the success alert showed the plain text response without script execution — partial output encoding, but input is NOT sanitised server-side (stored as-is)</t>
  </si>
  <si>
    <t xml:space="preserve">Security - XSS prevention</t>
  </si>
  <si>
    <t xml:space="preserve">TC_CT_045</t>
  </si>
  <si>
    <t xml:space="preserve">Verify SQL injection prevention in all fields</t>
  </si>
  <si>
    <t xml:space="preserve">1. Open Contact modal
2. Enter SQL injection strings
3. Submit form</t>
  </si>
  <si>
    <t xml:space="preserve">Email: test@example.com
Name: admin'--
Message: ' OR '1'='1</t>
  </si>
  <si>
    <t xml:space="preserve">1. SQL injection blocked
2. Input sanitized or rejected
3. No database breach</t>
  </si>
  <si>
    <t xml:space="preserve">SQL injection test: Name: admin'-- , Message: ' OR '1'='1 — form submitted without error; no SQL error returned; success alert shown; no visible database breach in UI response; however no CSRF token present on form (site-wide security gap)</t>
  </si>
  <si>
    <t xml:space="preserve">Security - SQL injection</t>
  </si>
  <si>
    <t xml:space="preserve">TC_CT_046</t>
  </si>
  <si>
    <t xml:space="preserve">Verify HTML injection prevention</t>
  </si>
  <si>
    <t xml:space="preserve">1. Open Contact modal
2. Enter HTML tags in message
3. Submit form</t>
  </si>
  <si>
    <t xml:space="preserve">Email: test@example.com
Name: Test
Message: &lt;b&gt;Bold&lt;/b&gt; &lt;img src='x'&gt;</t>
  </si>
  <si>
    <t xml:space="preserve">1. HTML tags escaped or stripped
2. Not rendered as HTML
3. Displayed as plain text</t>
  </si>
  <si>
    <t xml:space="preserve">HTML injection test: Message: &lt;b&gt;Bold&lt;/b&gt; &lt;img src='x'&gt; — form submits; the success alert displays raw text including the tags without rendering them as HTML in the alert box; input not sanitised but not rendered in the browser context tested</t>
  </si>
  <si>
    <t xml:space="preserve">Security - HTML injection</t>
  </si>
  <si>
    <t xml:space="preserve">TC_CT_047</t>
  </si>
  <si>
    <t xml:space="preserve">Verify CSRF protection on form submission</t>
  </si>
  <si>
    <t xml:space="preserve">1. Open Contact modal
2. Check form for CSRF token
3. Submit form
4. Verify token validation</t>
  </si>
  <si>
    <t xml:space="preserve">1. CSRF token present in form
2. Token validated on submission
3. Protection against CSRF attacks</t>
  </si>
  <si>
    <t xml:space="preserve">CSRF protection: NO CSRF token present in the Contact form or API request; the form submission uses a plain AJAX call with no token; cross-site request forgery is possible — site-wide security vulnerability</t>
  </si>
  <si>
    <t xml:space="preserve">Security - CSRF protection</t>
  </si>
  <si>
    <t xml:space="preserve">TC_CT_048</t>
  </si>
  <si>
    <t xml:space="preserve">Verify rate limiting for form submissions</t>
  </si>
  <si>
    <t xml:space="preserve">1. Submit contact form 10 times rapidly
2. Check if rate limiting applied</t>
  </si>
  <si>
    <t xml:space="preserve">1. Rate limiting enforced after X submissions
2. Error message about too many requests
3. Cooldown period enforced</t>
  </si>
  <si>
    <t xml:space="preserve">Rate limiting: submitted the contact form 10 times in rapid succession — all 10 submissions received 'Thanks for the message!!' alerts; no rate limiting, cooldown, or 'too many requests' error enforced; no spam/bot protection (no CAPTCHA or honeypot)</t>
  </si>
  <si>
    <t xml:space="preserve">Spam prevention</t>
  </si>
  <si>
    <t xml:space="preserve">TC_CT_049</t>
  </si>
  <si>
    <t xml:space="preserve">Verify Contact modal on Chrome browser</t>
  </si>
  <si>
    <t xml:space="preserve">1. Open Chrome
2. Navigate to app
3. Open Contact modal
4. Test functionality</t>
  </si>
  <si>
    <t xml:space="preserve">Browser: Chrome latest</t>
  </si>
  <si>
    <t xml:space="preserve">Modal displays and functions correctly on Chrome</t>
  </si>
  <si>
    <t xml:space="preserve">Contact modal on Chrome: modal opens correctly; all fields functional; 'Send message' submits with success alert; 'Close' and '×' work; no Chrome-specific rendering issues</t>
  </si>
  <si>
    <t xml:space="preserve">Cross-browser - Chrome</t>
  </si>
  <si>
    <t xml:space="preserve">TC_CT_050</t>
  </si>
  <si>
    <t xml:space="preserve">Verify Contact modal on Firefox browser</t>
  </si>
  <si>
    <t xml:space="preserve">1. Open Firefox
2. Navigate to app
3. Open Contact modal
4. Test functionality</t>
  </si>
  <si>
    <t xml:space="preserve">Browser: Firefox latest</t>
  </si>
  <si>
    <t xml:space="preserve">Modal displays and functions correctly on Firefox</t>
  </si>
  <si>
    <t xml:space="preserve">Contact modal on Firefox: modal opens and renders correctly; all fields and buttons functional; submission works; minor font antialiasing difference only — functionally identical to Chrome</t>
  </si>
  <si>
    <t xml:space="preserve">Cross-browser - Firefox</t>
  </si>
  <si>
    <t xml:space="preserve">TC_CT_051</t>
  </si>
  <si>
    <t xml:space="preserve">Verify Contact modal on Safari browser</t>
  </si>
  <si>
    <t xml:space="preserve">1. Open Safari
2. Navigate to app
3. Open Contact modal
4. Test functionality</t>
  </si>
  <si>
    <t xml:space="preserve">Browser: Safari latest</t>
  </si>
  <si>
    <t xml:space="preserve">Modal displays and functions correctly on Safari</t>
  </si>
  <si>
    <t xml:space="preserve">Contact modal on Safari: Bootstrap modal renders correctly under WebKit; all fields accept input; form submission works; ESC and backdrop close work; no Safari-specific issues</t>
  </si>
  <si>
    <t xml:space="preserve">Cross-browser - Safari</t>
  </si>
  <si>
    <t xml:space="preserve">TC_CT_052</t>
  </si>
  <si>
    <t xml:space="preserve">Verify Contact modal on mobile devices</t>
  </si>
  <si>
    <t xml:space="preserve">1. Open app on mobile device
2. Tap 'Contact' link
3. Check modal display
4. Test form submission</t>
  </si>
  <si>
    <t xml:space="preserve">Device: Mobile (375x667)</t>
  </si>
  <si>
    <t xml:space="preserve">1. Modal fits screen properly
2. All fields accessible
3. Touch keyboard appears
4. Form submits successfully</t>
  </si>
  <si>
    <t xml:space="preserve">Contact modal on mobile (375×667): modal fits screen with side margins; Contact Email and Contact Name fields accessible with touch; textarea tappable; virtual keyboard appears on field tap; Send message button tappable; form submits successfully on mobile</t>
  </si>
  <si>
    <t xml:space="preserve">Mobile responsiveness</t>
  </si>
  <si>
    <t xml:space="preserve">TC_CT_053</t>
  </si>
  <si>
    <t xml:space="preserve">Verify Contact modal on tablet</t>
  </si>
  <si>
    <t xml:space="preserve">1. Open app on tablet
2. Tap 'Contact' link
3. Check modal display
4. Test functionality</t>
  </si>
  <si>
    <t xml:space="preserve">Device: Tablet (768x1024)</t>
  </si>
  <si>
    <t xml:space="preserve">Modal displays correctly on tablet</t>
  </si>
  <si>
    <t xml:space="preserve">Contact modal on tablet (768×1024): modal displays at appropriate width; all fields and buttons accessible; form fully functional on tablet; no layout issues at tablet viewport</t>
  </si>
  <si>
    <t xml:space="preserve">Tablet responsiveness</t>
  </si>
  <si>
    <t xml:space="preserve">TC_CT_054</t>
  </si>
  <si>
    <t xml:space="preserve">Verify touch interaction on mobile</t>
  </si>
  <si>
    <t xml:space="preserve">1. Open on mobile device
2. Open Contact modal
3. Tap and type in fields
4. Tap buttons</t>
  </si>
  <si>
    <t xml:space="preserve">1. All touch interactions smooth
2. Virtual keyboard appears correctly
3. Buttons easily tappable</t>
  </si>
  <si>
    <t xml:space="preserve">Touch interactions on mobile: tapping fields brings up keyboard; text input smooth; tapping 'Send message' submits form; tapping 'Close' closes modal; all touch interactions work correctly</t>
  </si>
  <si>
    <t xml:space="preserve">Mobile touch functionality</t>
  </si>
  <si>
    <t xml:space="preserve">TC_CT_055</t>
  </si>
  <si>
    <t xml:space="preserve">Verify modal opens quickly</t>
  </si>
  <si>
    <t xml:space="preserve">1. Click 'Contact' link
2. Measure time to modal display
3. Verify responsiveness</t>
  </si>
  <si>
    <t xml:space="preserve">Modal opens within 500ms</t>
  </si>
  <si>
    <t xml:space="preserve">Modal open time: clicking 'Contact' triggers Bootstrap modal; modal fully visible within ~150ms; well within 500ms threshold; no noticeable lag on any tested browser</t>
  </si>
  <si>
    <t xml:space="preserve">Performance - modal load</t>
  </si>
  <si>
    <t xml:space="preserve">TC_CT_056</t>
  </si>
  <si>
    <t xml:space="preserve">Verify form submission response time</t>
  </si>
  <si>
    <t xml:space="preserve">1. Fill contact form
2. Click 'Send message'
3. Measure response time</t>
  </si>
  <si>
    <t xml:space="preserve">Email: test@example.com
Name: Test User
Message: Test</t>
  </si>
  <si>
    <t xml:space="preserve">1. Response received within 2-3 seconds
2. Loading indicator shown
3. Timely feedback</t>
  </si>
  <si>
    <t xml:space="preserve">Form submission response time: after clicking 'Send message' with valid data, the success alert appears within ~800ms–1.2 seconds on normal network; within acceptable 2–3 second threshold; no loading indicator shown during the wait</t>
  </si>
  <si>
    <t xml:space="preserve">Performance - submission</t>
  </si>
  <si>
    <t xml:space="preserve">TC_CT_057</t>
  </si>
  <si>
    <t xml:space="preserve">Verify form submission on slow network</t>
  </si>
  <si>
    <t xml:space="preserve">1. Simulate slow 3G connection
2. Fill and submit form
3. Observe behavior</t>
  </si>
  <si>
    <t xml:space="preserve">Network: Slow 3G</t>
  </si>
  <si>
    <t xml:space="preserve">1. Loading indicator shown
2. Request completes or timeout with message
3. Graceful handling</t>
  </si>
  <si>
    <t xml:space="preserve">Form submission on slow 3G (simulated): submission still completes but takes 3–5 seconds; no loading indicator or spinner shown during wait; no timeout error observed; alert eventually appears; user has no feedback that the request is in-progress</t>
  </si>
  <si>
    <t xml:space="preserve">Network resilience</t>
  </si>
  <si>
    <t xml:space="preserve">TC_CT_058</t>
  </si>
  <si>
    <t xml:space="preserve">Verify keyboard-only form navigation</t>
  </si>
  <si>
    <t xml:space="preserve">1. Open Contact modal using keyboard
2. Navigate entire form using Tab/Shift+Tab
3. Submit using Enter</t>
  </si>
  <si>
    <t xml:space="preserve">1. All elements keyboard accessible
2. Logical tab order
3. Form submittable via keyboard</t>
  </si>
  <si>
    <t xml:space="preserve">Keyboard-only navigation: opened Contact modal via Tab+Enter from navbar; Tab navigated through all fields in logical order; Enter in a field does not submit; Tab to 'Send message' and Enter submitted the form successfully; entire form operable via keyboard alone</t>
  </si>
  <si>
    <t xml:space="preserve">Keyboard accessibility</t>
  </si>
  <si>
    <t xml:space="preserve">TC_CT_059</t>
  </si>
  <si>
    <t xml:space="preserve">Verify form labels have 'for' attributes</t>
  </si>
  <si>
    <t xml:space="preserve">1. Open Contact modal
2. Inspect label elements
3. Check 'for' attribute linking</t>
  </si>
  <si>
    <t xml:space="preserve">1. Labels properly associated with inputs
2. Clicking label focuses input
3. Accessibility compliance</t>
  </si>
  <si>
    <t xml:space="preserve">Form labels 'for' attribute association: inspected the HTML — labels use plain text nodes above inputs without &lt;label&gt; elements linked via 'for' attribute to input IDs; clicking label text does NOT focus the associated input field; accessibility association missing</t>
  </si>
  <si>
    <t xml:space="preserve">Label association</t>
  </si>
  <si>
    <t xml:space="preserve">TC_CT_060</t>
  </si>
  <si>
    <t xml:space="preserve">Verify ARIA attributes for accessibility</t>
  </si>
  <si>
    <t xml:space="preserve">1. Open Contact modal
2. Inspect form elements
3. Check ARIA attributes</t>
  </si>
  <si>
    <t xml:space="preserve">1. Proper ARIA roles present
2. aria-required on required fields
3. aria-invalid on error fields</t>
  </si>
  <si>
    <t xml:space="preserve">ARIA attributes: Contact Email, Contact Name, and Message inputs have NO aria-required, NO aria-label, NO aria-describedby attributes; Bootstrap modal itself has role='dialog' and aria-labelledby pointing to modal title (modal-level ARIA present, field-level ARIA absent)</t>
  </si>
  <si>
    <t xml:space="preserve">ARIA compliance</t>
  </si>
  <si>
    <t xml:space="preserve">TC_CT_061</t>
  </si>
  <si>
    <t xml:space="preserve">Verify screen reader compatibility</t>
  </si>
  <si>
    <t xml:space="preserve">1. Enable screen reader
2. Open Contact modal
3. Navigate form
4. Submit</t>
  </si>
  <si>
    <t xml:space="preserve">1. All elements announced correctly
2. Field labels read properly
3. Error messages announced
4. Success message announced</t>
  </si>
  <si>
    <t xml:space="preserve">Screen reader (VoiceOver on Safari): modal title 'New message' announced on open; field labels read by proximity but NOT programmatically associated; buttons 'Send message' and 'Close' announced correctly; success alert announced by screen reader on dismiss; partial screen reader support</t>
  </si>
  <si>
    <t xml:space="preserve">Screen reader support</t>
  </si>
  <si>
    <t xml:space="preserve">TC_CT_062</t>
  </si>
  <si>
    <t xml:space="preserve">Verify color contrast meets WCAG standards</t>
  </si>
  <si>
    <t xml:space="preserve">1. Open Contact modal
2. Use contrast checker
3. Test all text/background combinations</t>
  </si>
  <si>
    <t xml:space="preserve">Color contrast ratio meets WCAG AA (4.5:1 minimum)</t>
  </si>
  <si>
    <t xml:space="preserve">Color contrast: dark text (#333 / #555) on white modal background; contrast ratio ~7:1 for body text; button text white on blue (Bootstrap primary #337ab7) — contrast ratio ~4.6:1 meeting WCAG AA; label text meets contrast requirements throughout</t>
  </si>
  <si>
    <t xml:space="preserve">Visual accessibility</t>
  </si>
  <si>
    <t xml:space="preserve">TC_CT_063</t>
  </si>
  <si>
    <t xml:space="preserve">Verify copy-paste functionality in fields</t>
  </si>
  <si>
    <t xml:space="preserve">1. Copy text from external source
2. Open Contact modal
3. Paste into each field
4. Submit</t>
  </si>
  <si>
    <t xml:space="preserve">Copy-paste works correctly in all fields</t>
  </si>
  <si>
    <t xml:space="preserve">Copy-paste tested in all three fields: pasted text from clipboard into Contact Email, Contact Name, and Message — paste works correctly in all; pasted text appears at cursor position; no restrictions on paste</t>
  </si>
  <si>
    <t xml:space="preserve">Copy-paste support</t>
  </si>
  <si>
    <t xml:space="preserve">TC_CT_064</t>
  </si>
  <si>
    <t xml:space="preserve">Verify form with only whitespace trimming</t>
  </si>
  <si>
    <t xml:space="preserve">1. Enter data with leading/trailing spaces
2. Submit form
3. Check if spaces trimmed</t>
  </si>
  <si>
    <t xml:space="preserve">Email: ' test@example.com '
Name: ' John Doe '
Message: ' Test '</t>
  </si>
  <si>
    <t xml:space="preserve">Leading/trailing whitespace trimmed before validation/submission</t>
  </si>
  <si>
    <t xml:space="preserve">Leading/trailing whitespace trimming: entered ' test@example.com ' with spaces — NO trimming applied; submitted as-is with surrounding spaces; no input sanitization for whitespace in any field</t>
  </si>
  <si>
    <t xml:space="preserve">Input sanitization</t>
  </si>
  <si>
    <t xml:space="preserve">TC_CT_065</t>
  </si>
  <si>
    <t xml:space="preserve">Verify multiple rapid form submissions</t>
  </si>
  <si>
    <t xml:space="preserve">1. Fill form
2. Click 'Send message' multiple times rapidly
3. Check behavior</t>
  </si>
  <si>
    <t xml:space="preserve">1. Only one submission processed
2. Button disabled after first click
3. No duplicate messages sent</t>
  </si>
  <si>
    <t xml:space="preserve">Rapid multiple submissions: clicked 'Send message' 5 times quickly — all 5 submissions processed; received 5 consecutive success alerts; no duplicate prevention or button-disable mechanism; multiple identical messages sent to the server</t>
  </si>
  <si>
    <t xml:space="preserve">Duplicate submission prevention</t>
  </si>
  <si>
    <t xml:space="preserve">TC_CT_066</t>
  </si>
  <si>
    <t xml:space="preserve">Verify browser autofill compatibility</t>
  </si>
  <si>
    <t xml:space="preserve">1. Have saved contact info in browser
2. Open Contact modal
3. Check autofill suggestions</t>
  </si>
  <si>
    <t xml:space="preserve">Browser autofill works correctly for email and name</t>
  </si>
  <si>
    <t xml:space="preserve">Browser autofill tested in Chrome: saved email and name autofill suggestions appeared in Contact Email and Contact Name fields when clicked; selecting autofill populated fields correctly; standard browser autofill works as expected</t>
  </si>
  <si>
    <t xml:space="preserve">Browser integration</t>
  </si>
  <si>
    <t xml:space="preserve">TC_CT_067</t>
  </si>
  <si>
    <t xml:space="preserve">Verify page refresh during form filling</t>
  </si>
  <si>
    <t xml:space="preserve">1. Open Contact modal
2. Fill some fields
3. Refresh page (F5)
4. Reopen modal</t>
  </si>
  <si>
    <t xml:space="preserve">Data not retained after refresh (as expected for modal forms)</t>
  </si>
  <si>
    <t xml:space="preserve">Page refresh (F5) while Contact modal is open: modal closes; page reloads; modal data is lost; reopening Contact shows empty fields — data not retained after refresh (expected behaviour for modal forms)</t>
  </si>
  <si>
    <t xml:space="preserve">Refresh behavior</t>
  </si>
  <si>
    <t xml:space="preserve">TC_CT_068</t>
  </si>
  <si>
    <t xml:space="preserve">Verify international characters in name and message</t>
  </si>
  <si>
    <t xml:space="preserve">1. Open Contact modal
2. Enter international characters
3. Submit</t>
  </si>
  <si>
    <r>
      <rPr>
        <sz val="11"/>
        <color theme="1"/>
        <rFont val="Calibri"/>
        <family val="2"/>
        <charset val="1"/>
      </rPr>
      <t xml:space="preserve">Email: test@example.com
Name: José Müller </t>
    </r>
    <r>
      <rPr>
        <sz val="11"/>
        <color theme="1"/>
        <rFont val="Noto Sans CJK SC"/>
        <family val="2"/>
      </rPr>
      <t xml:space="preserve">李明
</t>
    </r>
    <r>
      <rPr>
        <sz val="11"/>
        <color theme="1"/>
        <rFont val="Calibri"/>
        <family val="2"/>
        <charset val="1"/>
      </rPr>
      <t xml:space="preserve">Message: Héllo Wörld </t>
    </r>
    <r>
      <rPr>
        <sz val="11"/>
        <color theme="1"/>
        <rFont val="Noto Sans CJK SC"/>
        <family val="2"/>
      </rPr>
      <t xml:space="preserve">你好</t>
    </r>
  </si>
  <si>
    <t xml:space="preserve">International characters accepted and displayed correctly</t>
  </si>
  <si>
    <r>
      <rPr>
        <sz val="11"/>
        <color theme="1"/>
        <rFont val="Calibri"/>
        <family val="2"/>
        <charset val="1"/>
      </rPr>
      <t xml:space="preserve">International characters in name and message: Name: 'José Müller </t>
    </r>
    <r>
      <rPr>
        <sz val="11"/>
        <color theme="1"/>
        <rFont val="Noto Sans CJK SC"/>
        <family val="2"/>
      </rPr>
      <t xml:space="preserve">李明</t>
    </r>
    <r>
      <rPr>
        <sz val="11"/>
        <color theme="1"/>
        <rFont val="Calibri"/>
        <family val="2"/>
        <charset val="1"/>
      </rPr>
      <t xml:space="preserve">', Message: 'Héllo Wörld </t>
    </r>
    <r>
      <rPr>
        <sz val="11"/>
        <color theme="1"/>
        <rFont val="Noto Sans CJK SC"/>
        <family val="2"/>
      </rPr>
      <t xml:space="preserve">你好</t>
    </r>
    <r>
      <rPr>
        <sz val="11"/>
        <color theme="1"/>
        <rFont val="Calibri"/>
        <family val="2"/>
        <charset val="1"/>
      </rPr>
      <t xml:space="preserve">' — all international characters (accented Latin, CJK) accepted in both fields; displayed correctly in the input; form submits successfully</t>
    </r>
  </si>
  <si>
    <t xml:space="preserve">Internationalization</t>
  </si>
  <si>
    <t xml:space="preserve">TC_CT_069</t>
  </si>
  <si>
    <t xml:space="preserve">Verify emoji support in message field</t>
  </si>
  <si>
    <t xml:space="preserve">1. Open Contact modal
2. Fill fields
3. Enter emojis in message
4. Submit</t>
  </si>
  <si>
    <t xml:space="preserve">Email: test@example.com
Name: Test
Message: Hello 😊👍❤️</t>
  </si>
  <si>
    <t xml:space="preserve">Emojis accepted and handled correctly</t>
  </si>
  <si>
    <t xml:space="preserve">Emojis in message field: entered '😊 👍 ❤️ Hello' — emojis accepted and displayed correctly in the textarea; form submits without error; success alert shown; emoji handling works correctly</t>
  </si>
  <si>
    <t xml:space="preserve">Emoji support</t>
  </si>
  <si>
    <t xml:space="preserve">TC_CT_070</t>
  </si>
  <si>
    <t xml:space="preserve">Verify form when server is down</t>
  </si>
  <si>
    <t xml:space="preserve">1. Simulate server downtime
2. Fill and submit form
3. Check error handling</t>
  </si>
  <si>
    <t xml:space="preserve">1. Appropriate error message shown
2. User informed of issue
3. Option to retry</t>
  </si>
  <si>
    <t xml:space="preserve">Server error scenario (simulated by intercepting network request): when API call fails, no user-facing error message displayed; the modal remains open with no feedback; user has no indication the submission failed — no error handling for server-side failures</t>
  </si>
  <si>
    <t xml:space="preserve">Server error handling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</si>
  <si>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</si>
  <si>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</si>
  <si>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</si>
  <si>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</si>
  <si>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</si>
  <si>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Passed:</t>
  </si>
  <si>
    <t xml:space="preserve">Failed:</t>
  </si>
  <si>
    <t xml:space="preserve">N/A:</t>
  </si>
  <si>
    <t xml:space="preserve">Not Executed: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</si>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</sst>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4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6" min="6" style="0" width="7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4.25" hidden="false" customHeight="false" outlineLevel="0" collapsed="false">
      <c r="A1" s="1" t="s">
        <v>0</v>
      </c>
      <c r="B1" s="2" t="s">
        <v>1</v>
      </c>
    </row>
    <row r="2" customFormat="false" ht="14.25" hidden="false" customHeight="false" outlineLevel="0" collapsed="false">
      <c r="A2" s="1" t="s">
        <v>2</v>
      </c>
      <c r="B2" s="2" t="s">
        <v>3</v>
      </c>
    </row>
    <row r="3" customFormat="false" ht="14.25" hidden="false" customHeight="false" outlineLevel="0" collapsed="false">
      <c r="A3" s="1" t="s">
        <v>4</v>
      </c>
      <c r="B3" s="2" t="s">
        <v>5</v>
      </c>
    </row>
    <row r="4" customFormat="false" ht="14.25" hidden="false" customHeight="false" outlineLevel="0" collapsed="false">
      <c r="A4" s="1" t="s">
        <v>6</v>
      </c>
      <c r="B4" s="2" t="s">
        <v>7</v>
      </c>
    </row>
    <row r="5" customFormat="false" ht="14.25" hidden="false" customHeight="false" outlineLevel="0" collapsed="false">
      <c r="A5" s="1" t="s">
        <v>8</v>
      </c>
      <c r="B5" s="2" t="s">
        <v>9</v>
      </c>
    </row>
    <row r="6" customFormat="false" ht="14.25" hidden="false" customHeight="false" outlineLevel="0" collapsed="false">
      <c r="A6" s="1" t="s">
        <v>10</v>
      </c>
      <c r="B6" s="2" t="s">
        <v>11</v>
      </c>
    </row>
    <row r="7" customFormat="false" ht="14.25" hidden="false" customHeight="false" outlineLevel="0" collapsed="false">
      <c r="A7" s="3" t="s">
        <v>12</v>
      </c>
      <c r="B7" s="2" t="s">
        <v>13</v>
      </c>
    </row>
    <row r="9" customFormat="false" ht="14.25" hidden="false" customHeight="false" outlineLevel="0" collapsed="false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</row>
    <row r="10" customFormat="false" ht="57.75" hidden="false" customHeight="true" outlineLevel="0" collapsed="false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6" t="s">
        <v>29</v>
      </c>
      <c r="H10" s="7" t="s">
        <v>30</v>
      </c>
      <c r="I10" s="5" t="s">
        <v>31</v>
      </c>
    </row>
    <row r="11" customFormat="false" ht="43.5" hidden="false" customHeight="true" outlineLevel="0" collapsed="false">
      <c r="A11" s="5" t="s">
        <v>32</v>
      </c>
      <c r="B11" s="5" t="s">
        <v>33</v>
      </c>
      <c r="C11" s="5" t="s">
        <v>34</v>
      </c>
      <c r="D11" s="5" t="s">
        <v>26</v>
      </c>
      <c r="E11" s="5" t="s">
        <v>35</v>
      </c>
      <c r="F11" s="5" t="s">
        <v>36</v>
      </c>
      <c r="G11" s="6" t="s">
        <v>29</v>
      </c>
      <c r="H11" s="7" t="s">
        <v>30</v>
      </c>
      <c r="I11" s="5" t="s">
        <v>37</v>
      </c>
    </row>
    <row r="12" customFormat="false" ht="57.75" hidden="false" customHeight="true" outlineLevel="0" collapsed="false">
      <c r="A12" s="5" t="s">
        <v>38</v>
      </c>
      <c r="B12" s="5" t="s">
        <v>39</v>
      </c>
      <c r="C12" s="5" t="s">
        <v>40</v>
      </c>
      <c r="D12" s="5" t="s">
        <v>26</v>
      </c>
      <c r="E12" s="5" t="s">
        <v>41</v>
      </c>
      <c r="F12" s="5" t="s">
        <v>42</v>
      </c>
      <c r="G12" s="6" t="s">
        <v>29</v>
      </c>
      <c r="H12" s="7" t="s">
        <v>30</v>
      </c>
      <c r="I12" s="5" t="s">
        <v>43</v>
      </c>
    </row>
    <row r="13" customFormat="false" ht="43.5" hidden="false" customHeight="true" outlineLevel="0" collapsed="false">
      <c r="A13" s="5" t="s">
        <v>44</v>
      </c>
      <c r="B13" s="5" t="s">
        <v>45</v>
      </c>
      <c r="C13" s="5" t="s">
        <v>46</v>
      </c>
      <c r="D13" s="5" t="s">
        <v>26</v>
      </c>
      <c r="E13" s="5" t="s">
        <v>47</v>
      </c>
      <c r="F13" s="5" t="s">
        <v>48</v>
      </c>
      <c r="G13" s="6" t="s">
        <v>29</v>
      </c>
      <c r="H13" s="8" t="s">
        <v>49</v>
      </c>
      <c r="I13" s="5" t="s">
        <v>50</v>
      </c>
    </row>
    <row r="14" customFormat="false" ht="43.5" hidden="false" customHeight="true" outlineLevel="0" collapsed="false">
      <c r="A14" s="5" t="s">
        <v>51</v>
      </c>
      <c r="B14" s="5" t="s">
        <v>52</v>
      </c>
      <c r="C14" s="5" t="s">
        <v>53</v>
      </c>
      <c r="D14" s="5" t="s">
        <v>26</v>
      </c>
      <c r="E14" s="5" t="s">
        <v>54</v>
      </c>
      <c r="F14" s="5" t="s">
        <v>55</v>
      </c>
      <c r="G14" s="6" t="s">
        <v>29</v>
      </c>
      <c r="H14" s="7" t="s">
        <v>30</v>
      </c>
      <c r="I14" s="5" t="s">
        <v>56</v>
      </c>
    </row>
    <row r="15" customFormat="false" ht="43.5" hidden="false" customHeight="true" outlineLevel="0" collapsed="false">
      <c r="A15" s="5" t="s">
        <v>57</v>
      </c>
      <c r="B15" s="5" t="s">
        <v>58</v>
      </c>
      <c r="C15" s="5" t="s">
        <v>59</v>
      </c>
      <c r="D15" s="5" t="s">
        <v>26</v>
      </c>
      <c r="E15" s="5" t="s">
        <v>60</v>
      </c>
      <c r="F15" s="5" t="s">
        <v>61</v>
      </c>
      <c r="G15" s="6" t="s">
        <v>29</v>
      </c>
      <c r="H15" s="7" t="s">
        <v>30</v>
      </c>
      <c r="I15" s="5" t="s">
        <v>62</v>
      </c>
    </row>
    <row r="16" customFormat="false" ht="72" hidden="false" customHeight="true" outlineLevel="0" collapsed="false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67</v>
      </c>
      <c r="F16" s="5" t="s">
        <v>68</v>
      </c>
      <c r="G16" s="6" t="s">
        <v>29</v>
      </c>
      <c r="H16" s="7" t="s">
        <v>30</v>
      </c>
      <c r="I16" s="5" t="s">
        <v>69</v>
      </c>
    </row>
    <row r="17" customFormat="false" ht="72" hidden="false" customHeight="true" outlineLevel="0" collapsed="false">
      <c r="A17" s="5" t="s">
        <v>70</v>
      </c>
      <c r="B17" s="5" t="s">
        <v>71</v>
      </c>
      <c r="C17" s="5" t="s">
        <v>72</v>
      </c>
      <c r="D17" s="5" t="s">
        <v>73</v>
      </c>
      <c r="E17" s="5" t="s">
        <v>74</v>
      </c>
      <c r="F17" s="5" t="s">
        <v>75</v>
      </c>
      <c r="G17" s="6" t="s">
        <v>29</v>
      </c>
      <c r="H17" s="8" t="s">
        <v>49</v>
      </c>
      <c r="I17" s="5" t="s">
        <v>76</v>
      </c>
    </row>
    <row r="18" customFormat="false" ht="72" hidden="false" customHeight="true" outlineLevel="0" collapsed="false">
      <c r="A18" s="5" t="s">
        <v>77</v>
      </c>
      <c r="B18" s="5" t="s">
        <v>78</v>
      </c>
      <c r="C18" s="5" t="s">
        <v>79</v>
      </c>
      <c r="D18" s="5" t="s">
        <v>80</v>
      </c>
      <c r="E18" s="5" t="s">
        <v>81</v>
      </c>
      <c r="F18" s="5" t="s">
        <v>82</v>
      </c>
      <c r="G18" s="6" t="s">
        <v>29</v>
      </c>
      <c r="H18" s="8" t="s">
        <v>49</v>
      </c>
      <c r="I18" s="5" t="s">
        <v>83</v>
      </c>
    </row>
    <row r="19" customFormat="false" ht="57.75" hidden="false" customHeight="true" outlineLevel="0" collapsed="false">
      <c r="A19" s="5" t="s">
        <v>84</v>
      </c>
      <c r="B19" s="5" t="s">
        <v>85</v>
      </c>
      <c r="C19" s="5" t="s">
        <v>86</v>
      </c>
      <c r="D19" s="5" t="s">
        <v>87</v>
      </c>
      <c r="E19" s="5" t="s">
        <v>88</v>
      </c>
      <c r="F19" s="5" t="s">
        <v>89</v>
      </c>
      <c r="G19" s="6" t="s">
        <v>29</v>
      </c>
      <c r="H19" s="8" t="s">
        <v>49</v>
      </c>
      <c r="I19" s="5" t="s">
        <v>90</v>
      </c>
    </row>
    <row r="20" customFormat="false" ht="72" hidden="false" customHeight="true" outlineLevel="0" collapsed="false">
      <c r="A20" s="5" t="s">
        <v>91</v>
      </c>
      <c r="B20" s="5" t="s">
        <v>92</v>
      </c>
      <c r="C20" s="5" t="s">
        <v>93</v>
      </c>
      <c r="D20" s="5" t="s">
        <v>94</v>
      </c>
      <c r="E20" s="5" t="s">
        <v>95</v>
      </c>
      <c r="F20" s="5" t="s">
        <v>96</v>
      </c>
      <c r="G20" s="6" t="s">
        <v>29</v>
      </c>
      <c r="H20" s="8" t="s">
        <v>49</v>
      </c>
      <c r="I20" s="5" t="s">
        <v>97</v>
      </c>
    </row>
    <row r="21" customFormat="false" ht="57.75" hidden="false" customHeight="true" outlineLevel="0" collapsed="false">
      <c r="A21" s="5" t="s">
        <v>98</v>
      </c>
      <c r="B21" s="5" t="s">
        <v>99</v>
      </c>
      <c r="C21" s="5" t="s">
        <v>100</v>
      </c>
      <c r="D21" s="5" t="s">
        <v>101</v>
      </c>
      <c r="E21" s="5" t="s">
        <v>102</v>
      </c>
      <c r="F21" s="5" t="s">
        <v>103</v>
      </c>
      <c r="G21" s="9" t="s">
        <v>104</v>
      </c>
      <c r="H21" s="7" t="s">
        <v>30</v>
      </c>
      <c r="I21" s="5" t="s">
        <v>105</v>
      </c>
    </row>
    <row r="22" customFormat="false" ht="57.75" hidden="false" customHeight="true" outlineLevel="0" collapsed="false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110</v>
      </c>
      <c r="F22" s="5" t="s">
        <v>111</v>
      </c>
      <c r="G22" s="9" t="s">
        <v>104</v>
      </c>
      <c r="H22" s="7" t="s">
        <v>30</v>
      </c>
      <c r="I22" s="5" t="s">
        <v>112</v>
      </c>
    </row>
    <row r="23" customFormat="false" ht="57.75" hidden="false" customHeight="true" outlineLevel="0" collapsed="false">
      <c r="A23" s="5" t="s">
        <v>113</v>
      </c>
      <c r="B23" s="5" t="s">
        <v>114</v>
      </c>
      <c r="C23" s="5" t="s">
        <v>115</v>
      </c>
      <c r="D23" s="5" t="s">
        <v>116</v>
      </c>
      <c r="E23" s="5" t="s">
        <v>117</v>
      </c>
      <c r="F23" s="5" t="s">
        <v>118</v>
      </c>
      <c r="G23" s="9" t="s">
        <v>104</v>
      </c>
      <c r="H23" s="7" t="s">
        <v>30</v>
      </c>
      <c r="I23" s="5" t="s">
        <v>112</v>
      </c>
    </row>
    <row r="24" customFormat="false" ht="57.75" hidden="false" customHeight="true" outlineLevel="0" collapsed="false">
      <c r="A24" s="5" t="s">
        <v>119</v>
      </c>
      <c r="B24" s="5" t="s">
        <v>120</v>
      </c>
      <c r="C24" s="5" t="s">
        <v>121</v>
      </c>
      <c r="D24" s="5" t="s">
        <v>122</v>
      </c>
      <c r="E24" s="5" t="s">
        <v>117</v>
      </c>
      <c r="F24" s="5" t="s">
        <v>123</v>
      </c>
      <c r="G24" s="9" t="s">
        <v>104</v>
      </c>
      <c r="H24" s="8" t="s">
        <v>49</v>
      </c>
      <c r="I24" s="5" t="s">
        <v>112</v>
      </c>
    </row>
    <row r="25" customFormat="false" ht="57.75" hidden="false" customHeight="true" outlineLevel="0" collapsed="false">
      <c r="A25" s="5" t="s">
        <v>124</v>
      </c>
      <c r="B25" s="5" t="s">
        <v>125</v>
      </c>
      <c r="C25" s="5" t="s">
        <v>126</v>
      </c>
      <c r="D25" s="5" t="s">
        <v>127</v>
      </c>
      <c r="E25" s="5" t="s">
        <v>128</v>
      </c>
      <c r="F25" s="5" t="s">
        <v>129</v>
      </c>
      <c r="G25" s="9" t="s">
        <v>104</v>
      </c>
      <c r="H25" s="8" t="s">
        <v>49</v>
      </c>
      <c r="I25" s="5" t="s">
        <v>130</v>
      </c>
    </row>
    <row r="26" customFormat="false" ht="72" hidden="false" customHeight="true" outlineLevel="0" collapsed="false">
      <c r="A26" s="5" t="s">
        <v>131</v>
      </c>
      <c r="B26" s="5" t="s">
        <v>132</v>
      </c>
      <c r="C26" s="5" t="s">
        <v>133</v>
      </c>
      <c r="D26" s="5" t="s">
        <v>134</v>
      </c>
      <c r="E26" s="5" t="s">
        <v>135</v>
      </c>
      <c r="F26" s="5" t="s">
        <v>136</v>
      </c>
      <c r="G26" s="9" t="s">
        <v>104</v>
      </c>
      <c r="H26" s="7" t="s">
        <v>30</v>
      </c>
      <c r="I26" s="5" t="s">
        <v>137</v>
      </c>
    </row>
    <row r="27" customFormat="false" ht="72" hidden="false" customHeight="true" outlineLevel="0" collapsed="false">
      <c r="A27" s="5" t="s">
        <v>138</v>
      </c>
      <c r="B27" s="5" t="s">
        <v>139</v>
      </c>
      <c r="C27" s="5" t="s">
        <v>140</v>
      </c>
      <c r="D27" s="5" t="s">
        <v>141</v>
      </c>
      <c r="E27" s="5" t="s">
        <v>128</v>
      </c>
      <c r="F27" s="5" t="s">
        <v>142</v>
      </c>
      <c r="G27" s="9" t="s">
        <v>104</v>
      </c>
      <c r="H27" s="8" t="s">
        <v>49</v>
      </c>
      <c r="I27" s="5" t="s">
        <v>143</v>
      </c>
    </row>
    <row r="28" customFormat="false" ht="57.75" hidden="false" customHeight="true" outlineLevel="0" collapsed="false">
      <c r="A28" s="5" t="s">
        <v>144</v>
      </c>
      <c r="B28" s="5" t="s">
        <v>145</v>
      </c>
      <c r="C28" s="5" t="s">
        <v>146</v>
      </c>
      <c r="D28" s="5" t="s">
        <v>147</v>
      </c>
      <c r="E28" s="5" t="s">
        <v>148</v>
      </c>
      <c r="F28" s="5" t="s">
        <v>149</v>
      </c>
      <c r="G28" s="6" t="s">
        <v>29</v>
      </c>
      <c r="H28" s="8" t="s">
        <v>49</v>
      </c>
      <c r="I28" s="5" t="s">
        <v>150</v>
      </c>
    </row>
    <row r="29" customFormat="false" ht="57.75" hidden="false" customHeight="true" outlineLevel="0" collapsed="false">
      <c r="A29" s="5" t="s">
        <v>151</v>
      </c>
      <c r="B29" s="5" t="s">
        <v>152</v>
      </c>
      <c r="C29" s="5" t="s">
        <v>153</v>
      </c>
      <c r="D29" s="5" t="s">
        <v>154</v>
      </c>
      <c r="E29" s="5" t="s">
        <v>155</v>
      </c>
      <c r="F29" s="5" t="s">
        <v>156</v>
      </c>
      <c r="G29" s="6" t="s">
        <v>29</v>
      </c>
      <c r="H29" s="10" t="s">
        <v>157</v>
      </c>
      <c r="I29" s="5" t="s">
        <v>158</v>
      </c>
    </row>
    <row r="30" customFormat="false" ht="57.75" hidden="false" customHeight="true" outlineLevel="0" collapsed="false">
      <c r="A30" s="5" t="s">
        <v>159</v>
      </c>
      <c r="B30" s="5" t="s">
        <v>160</v>
      </c>
      <c r="C30" s="5" t="s">
        <v>161</v>
      </c>
      <c r="D30" s="5" t="s">
        <v>162</v>
      </c>
      <c r="E30" s="5" t="s">
        <v>163</v>
      </c>
      <c r="F30" s="5" t="s">
        <v>164</v>
      </c>
      <c r="G30" s="9" t="s">
        <v>104</v>
      </c>
      <c r="H30" s="7" t="s">
        <v>30</v>
      </c>
      <c r="I30" s="5" t="s">
        <v>165</v>
      </c>
    </row>
    <row r="31" customFormat="false" ht="57.75" hidden="false" customHeight="true" outlineLevel="0" collapsed="false">
      <c r="A31" s="5" t="s">
        <v>166</v>
      </c>
      <c r="B31" s="5" t="s">
        <v>167</v>
      </c>
      <c r="C31" s="5" t="s">
        <v>168</v>
      </c>
      <c r="D31" s="5" t="s">
        <v>169</v>
      </c>
      <c r="E31" s="5" t="s">
        <v>128</v>
      </c>
      <c r="F31" s="5" t="s">
        <v>170</v>
      </c>
      <c r="G31" s="9" t="s">
        <v>104</v>
      </c>
      <c r="H31" s="8" t="s">
        <v>49</v>
      </c>
      <c r="I31" s="5" t="s">
        <v>171</v>
      </c>
    </row>
    <row r="32" customFormat="false" ht="57.75" hidden="false" customHeight="true" outlineLevel="0" collapsed="false">
      <c r="A32" s="5" t="s">
        <v>172</v>
      </c>
      <c r="B32" s="5" t="s">
        <v>173</v>
      </c>
      <c r="C32" s="5" t="s">
        <v>174</v>
      </c>
      <c r="D32" s="5" t="s">
        <v>175</v>
      </c>
      <c r="E32" s="5" t="s">
        <v>176</v>
      </c>
      <c r="F32" s="5" t="s">
        <v>177</v>
      </c>
      <c r="G32" s="6" t="s">
        <v>29</v>
      </c>
      <c r="H32" s="8" t="s">
        <v>49</v>
      </c>
      <c r="I32" s="5" t="s">
        <v>178</v>
      </c>
    </row>
    <row r="33" customFormat="false" ht="43.5" hidden="false" customHeight="true" outlineLevel="0" collapsed="false">
      <c r="A33" s="5" t="s">
        <v>179</v>
      </c>
      <c r="B33" s="5" t="s">
        <v>180</v>
      </c>
      <c r="C33" s="5" t="s">
        <v>181</v>
      </c>
      <c r="D33" s="5" t="s">
        <v>182</v>
      </c>
      <c r="E33" s="5" t="s">
        <v>183</v>
      </c>
      <c r="F33" s="5" t="s">
        <v>184</v>
      </c>
      <c r="G33" s="9" t="s">
        <v>104</v>
      </c>
      <c r="H33" s="7" t="s">
        <v>30</v>
      </c>
      <c r="I33" s="5" t="s">
        <v>185</v>
      </c>
    </row>
    <row r="34" customFormat="false" ht="57.75" hidden="false" customHeight="true" outlineLevel="0" collapsed="false">
      <c r="A34" s="5" t="s">
        <v>186</v>
      </c>
      <c r="B34" s="5" t="s">
        <v>187</v>
      </c>
      <c r="C34" s="5" t="s">
        <v>188</v>
      </c>
      <c r="D34" s="5" t="s">
        <v>189</v>
      </c>
      <c r="E34" s="5" t="s">
        <v>190</v>
      </c>
      <c r="F34" s="5" t="s">
        <v>191</v>
      </c>
      <c r="G34" s="9" t="s">
        <v>104</v>
      </c>
      <c r="H34" s="8" t="s">
        <v>49</v>
      </c>
      <c r="I34" s="5" t="s">
        <v>192</v>
      </c>
    </row>
    <row r="35" customFormat="false" ht="57.75" hidden="false" customHeight="true" outlineLevel="0" collapsed="false">
      <c r="A35" s="5" t="s">
        <v>193</v>
      </c>
      <c r="B35" s="5" t="s">
        <v>194</v>
      </c>
      <c r="C35" s="5" t="s">
        <v>195</v>
      </c>
      <c r="D35" s="5" t="s">
        <v>196</v>
      </c>
      <c r="E35" s="5" t="s">
        <v>190</v>
      </c>
      <c r="F35" s="5" t="s">
        <v>197</v>
      </c>
      <c r="G35" s="9" t="s">
        <v>104</v>
      </c>
      <c r="H35" s="8" t="s">
        <v>49</v>
      </c>
      <c r="I35" s="5" t="s">
        <v>192</v>
      </c>
    </row>
    <row r="36" customFormat="false" ht="43.5" hidden="false" customHeight="true" outlineLevel="0" collapsed="false">
      <c r="A36" s="5" t="s">
        <v>198</v>
      </c>
      <c r="B36" s="5" t="s">
        <v>199</v>
      </c>
      <c r="C36" s="5" t="s">
        <v>200</v>
      </c>
      <c r="D36" s="5" t="s">
        <v>26</v>
      </c>
      <c r="E36" s="5" t="s">
        <v>201</v>
      </c>
      <c r="F36" s="5" t="s">
        <v>202</v>
      </c>
      <c r="G36" s="6" t="s">
        <v>29</v>
      </c>
      <c r="H36" s="7" t="s">
        <v>30</v>
      </c>
      <c r="I36" s="5" t="s">
        <v>203</v>
      </c>
    </row>
    <row r="37" customFormat="false" ht="43.5" hidden="false" customHeight="true" outlineLevel="0" collapsed="false">
      <c r="A37" s="5" t="s">
        <v>204</v>
      </c>
      <c r="B37" s="5" t="s">
        <v>205</v>
      </c>
      <c r="C37" s="5" t="s">
        <v>206</v>
      </c>
      <c r="D37" s="5" t="s">
        <v>26</v>
      </c>
      <c r="E37" s="5" t="s">
        <v>201</v>
      </c>
      <c r="F37" s="5" t="s">
        <v>207</v>
      </c>
      <c r="G37" s="6" t="s">
        <v>29</v>
      </c>
      <c r="H37" s="7" t="s">
        <v>30</v>
      </c>
      <c r="I37" s="5" t="s">
        <v>208</v>
      </c>
    </row>
    <row r="38" customFormat="false" ht="43.5" hidden="false" customHeight="true" outlineLevel="0" collapsed="false">
      <c r="A38" s="5" t="s">
        <v>209</v>
      </c>
      <c r="B38" s="5" t="s">
        <v>210</v>
      </c>
      <c r="C38" s="5" t="s">
        <v>211</v>
      </c>
      <c r="D38" s="5" t="s">
        <v>26</v>
      </c>
      <c r="E38" s="5" t="s">
        <v>212</v>
      </c>
      <c r="F38" s="5" t="s">
        <v>213</v>
      </c>
      <c r="G38" s="6" t="s">
        <v>29</v>
      </c>
      <c r="H38" s="8" t="s">
        <v>49</v>
      </c>
      <c r="I38" s="5" t="s">
        <v>214</v>
      </c>
    </row>
    <row r="39" customFormat="false" ht="43.5" hidden="false" customHeight="true" outlineLevel="0" collapsed="false">
      <c r="A39" s="5" t="s">
        <v>215</v>
      </c>
      <c r="B39" s="5" t="s">
        <v>216</v>
      </c>
      <c r="C39" s="5" t="s">
        <v>217</v>
      </c>
      <c r="D39" s="5" t="s">
        <v>26</v>
      </c>
      <c r="E39" s="5" t="s">
        <v>218</v>
      </c>
      <c r="F39" s="5" t="s">
        <v>219</v>
      </c>
      <c r="G39" s="6" t="s">
        <v>29</v>
      </c>
      <c r="H39" s="8" t="s">
        <v>49</v>
      </c>
      <c r="I39" s="5" t="s">
        <v>220</v>
      </c>
    </row>
    <row r="40" customFormat="false" ht="72" hidden="false" customHeight="true" outlineLevel="0" collapsed="false">
      <c r="A40" s="5" t="s">
        <v>221</v>
      </c>
      <c r="B40" s="5" t="s">
        <v>222</v>
      </c>
      <c r="C40" s="5" t="s">
        <v>223</v>
      </c>
      <c r="D40" s="5" t="s">
        <v>224</v>
      </c>
      <c r="E40" s="5" t="s">
        <v>225</v>
      </c>
      <c r="F40" s="5" t="s">
        <v>226</v>
      </c>
      <c r="G40" s="6" t="s">
        <v>29</v>
      </c>
      <c r="H40" s="8" t="s">
        <v>49</v>
      </c>
      <c r="I40" s="5" t="s">
        <v>227</v>
      </c>
    </row>
    <row r="41" customFormat="false" ht="43.5" hidden="false" customHeight="true" outlineLevel="0" collapsed="false">
      <c r="A41" s="5" t="s">
        <v>228</v>
      </c>
      <c r="B41" s="5" t="s">
        <v>229</v>
      </c>
      <c r="C41" s="5" t="s">
        <v>230</v>
      </c>
      <c r="D41" s="5" t="s">
        <v>26</v>
      </c>
      <c r="E41" s="5" t="s">
        <v>231</v>
      </c>
      <c r="F41" s="5" t="s">
        <v>232</v>
      </c>
      <c r="G41" s="9" t="s">
        <v>104</v>
      </c>
      <c r="H41" s="10" t="s">
        <v>157</v>
      </c>
      <c r="I41" s="5" t="s">
        <v>233</v>
      </c>
    </row>
    <row r="42" customFormat="false" ht="43.5" hidden="false" customHeight="true" outlineLevel="0" collapsed="false">
      <c r="A42" s="5" t="s">
        <v>234</v>
      </c>
      <c r="B42" s="5" t="s">
        <v>235</v>
      </c>
      <c r="C42" s="5" t="s">
        <v>236</v>
      </c>
      <c r="D42" s="5" t="s">
        <v>26</v>
      </c>
      <c r="E42" s="5" t="s">
        <v>237</v>
      </c>
      <c r="F42" s="5" t="s">
        <v>238</v>
      </c>
      <c r="G42" s="6" t="s">
        <v>29</v>
      </c>
      <c r="H42" s="8" t="s">
        <v>49</v>
      </c>
      <c r="I42" s="5" t="s">
        <v>239</v>
      </c>
    </row>
    <row r="43" customFormat="false" ht="57.75" hidden="false" customHeight="true" outlineLevel="0" collapsed="false">
      <c r="A43" s="5" t="s">
        <v>240</v>
      </c>
      <c r="B43" s="5" t="s">
        <v>241</v>
      </c>
      <c r="C43" s="5" t="s">
        <v>242</v>
      </c>
      <c r="D43" s="5" t="s">
        <v>26</v>
      </c>
      <c r="E43" s="5" t="s">
        <v>243</v>
      </c>
      <c r="F43" s="5" t="s">
        <v>244</v>
      </c>
      <c r="G43" s="6" t="s">
        <v>29</v>
      </c>
      <c r="H43" s="8" t="s">
        <v>49</v>
      </c>
      <c r="I43" s="5" t="s">
        <v>245</v>
      </c>
    </row>
    <row r="44" customFormat="false" ht="57.75" hidden="false" customHeight="true" outlineLevel="0" collapsed="false">
      <c r="A44" s="5" t="s">
        <v>246</v>
      </c>
      <c r="B44" s="5" t="s">
        <v>247</v>
      </c>
      <c r="C44" s="5" t="s">
        <v>248</v>
      </c>
      <c r="D44" s="5" t="s">
        <v>249</v>
      </c>
      <c r="E44" s="5" t="s">
        <v>250</v>
      </c>
      <c r="F44" s="5" t="s">
        <v>251</v>
      </c>
      <c r="G44" s="6" t="s">
        <v>29</v>
      </c>
      <c r="H44" s="10" t="s">
        <v>157</v>
      </c>
      <c r="I44" s="5" t="s">
        <v>252</v>
      </c>
    </row>
    <row r="45" customFormat="false" ht="57.75" hidden="false" customHeight="true" outlineLevel="0" collapsed="false">
      <c r="A45" s="5" t="s">
        <v>253</v>
      </c>
      <c r="B45" s="5" t="s">
        <v>254</v>
      </c>
      <c r="C45" s="5" t="s">
        <v>255</v>
      </c>
      <c r="D45" s="5" t="s">
        <v>26</v>
      </c>
      <c r="E45" s="5" t="s">
        <v>256</v>
      </c>
      <c r="F45" s="5" t="s">
        <v>257</v>
      </c>
      <c r="G45" s="6" t="s">
        <v>29</v>
      </c>
      <c r="H45" s="7" t="s">
        <v>30</v>
      </c>
      <c r="I45" s="5" t="s">
        <v>258</v>
      </c>
    </row>
    <row r="46" customFormat="false" ht="43.5" hidden="false" customHeight="true" outlineLevel="0" collapsed="false">
      <c r="A46" s="5" t="s">
        <v>259</v>
      </c>
      <c r="B46" s="5" t="s">
        <v>260</v>
      </c>
      <c r="C46" s="5" t="s">
        <v>261</v>
      </c>
      <c r="D46" s="5" t="s">
        <v>26</v>
      </c>
      <c r="E46" s="5" t="s">
        <v>262</v>
      </c>
      <c r="F46" s="5" t="s">
        <v>263</v>
      </c>
      <c r="G46" s="6" t="s">
        <v>29</v>
      </c>
      <c r="H46" s="10" t="s">
        <v>157</v>
      </c>
      <c r="I46" s="5" t="s">
        <v>264</v>
      </c>
    </row>
    <row r="47" customFormat="false" ht="43.5" hidden="false" customHeight="true" outlineLevel="0" collapsed="false">
      <c r="A47" s="5" t="s">
        <v>265</v>
      </c>
      <c r="B47" s="5" t="s">
        <v>266</v>
      </c>
      <c r="C47" s="5" t="s">
        <v>267</v>
      </c>
      <c r="D47" s="5" t="s">
        <v>26</v>
      </c>
      <c r="E47" s="5" t="s">
        <v>268</v>
      </c>
      <c r="F47" s="5" t="s">
        <v>269</v>
      </c>
      <c r="G47" s="6" t="s">
        <v>29</v>
      </c>
      <c r="H47" s="10" t="s">
        <v>157</v>
      </c>
      <c r="I47" s="5" t="s">
        <v>270</v>
      </c>
    </row>
    <row r="48" customFormat="false" ht="43.5" hidden="false" customHeight="true" outlineLevel="0" collapsed="false">
      <c r="A48" s="5" t="s">
        <v>271</v>
      </c>
      <c r="B48" s="5" t="s">
        <v>272</v>
      </c>
      <c r="C48" s="5" t="s">
        <v>273</v>
      </c>
      <c r="D48" s="5" t="s">
        <v>26</v>
      </c>
      <c r="E48" s="5" t="s">
        <v>274</v>
      </c>
      <c r="F48" s="5" t="s">
        <v>275</v>
      </c>
      <c r="G48" s="6" t="s">
        <v>29</v>
      </c>
      <c r="H48" s="10" t="s">
        <v>157</v>
      </c>
      <c r="I48" s="5" t="s">
        <v>270</v>
      </c>
    </row>
    <row r="49" customFormat="false" ht="57.75" hidden="false" customHeight="true" outlineLevel="0" collapsed="false">
      <c r="A49" s="5" t="s">
        <v>276</v>
      </c>
      <c r="B49" s="5" t="s">
        <v>277</v>
      </c>
      <c r="C49" s="5" t="s">
        <v>278</v>
      </c>
      <c r="D49" s="5" t="s">
        <v>224</v>
      </c>
      <c r="E49" s="5" t="s">
        <v>279</v>
      </c>
      <c r="F49" s="5" t="s">
        <v>280</v>
      </c>
      <c r="G49" s="9" t="s">
        <v>104</v>
      </c>
      <c r="H49" s="7" t="s">
        <v>30</v>
      </c>
      <c r="I49" s="5" t="s">
        <v>281</v>
      </c>
    </row>
    <row r="50" customFormat="false" ht="57.75" hidden="false" customHeight="true" outlineLevel="0" collapsed="false">
      <c r="A50" s="5" t="s">
        <v>282</v>
      </c>
      <c r="B50" s="5" t="s">
        <v>283</v>
      </c>
      <c r="C50" s="5" t="s">
        <v>284</v>
      </c>
      <c r="D50" s="5" t="s">
        <v>285</v>
      </c>
      <c r="E50" s="5" t="s">
        <v>286</v>
      </c>
      <c r="F50" s="5" t="s">
        <v>287</v>
      </c>
      <c r="G50" s="6" t="s">
        <v>29</v>
      </c>
      <c r="H50" s="7" t="s">
        <v>30</v>
      </c>
      <c r="I50" s="5" t="s">
        <v>288</v>
      </c>
    </row>
    <row r="51" customFormat="false" ht="43.5" hidden="false" customHeight="true" outlineLevel="0" collapsed="false">
      <c r="A51" s="5" t="s">
        <v>289</v>
      </c>
      <c r="B51" s="5" t="s">
        <v>290</v>
      </c>
      <c r="C51" s="5" t="s">
        <v>291</v>
      </c>
      <c r="D51" s="5" t="s">
        <v>292</v>
      </c>
      <c r="E51" s="5" t="s">
        <v>293</v>
      </c>
      <c r="F51" s="5" t="s">
        <v>294</v>
      </c>
      <c r="G51" s="9" t="s">
        <v>104</v>
      </c>
      <c r="H51" s="7" t="s">
        <v>30</v>
      </c>
      <c r="I51" s="5" t="s">
        <v>295</v>
      </c>
    </row>
    <row r="52" customFormat="false" ht="57.75" hidden="false" customHeight="true" outlineLevel="0" collapsed="false">
      <c r="A52" s="5" t="s">
        <v>296</v>
      </c>
      <c r="B52" s="5" t="s">
        <v>297</v>
      </c>
      <c r="C52" s="5" t="s">
        <v>298</v>
      </c>
      <c r="D52" s="5" t="s">
        <v>26</v>
      </c>
      <c r="E52" s="5" t="s">
        <v>299</v>
      </c>
      <c r="F52" s="5" t="s">
        <v>300</v>
      </c>
      <c r="G52" s="11" t="s">
        <v>26</v>
      </c>
      <c r="H52" s="8" t="s">
        <v>49</v>
      </c>
      <c r="I52" s="5" t="s">
        <v>301</v>
      </c>
    </row>
    <row r="53" customFormat="false" ht="57.75" hidden="false" customHeight="true" outlineLevel="0" collapsed="false">
      <c r="A53" s="5" t="s">
        <v>302</v>
      </c>
      <c r="B53" s="5" t="s">
        <v>303</v>
      </c>
      <c r="C53" s="5" t="s">
        <v>304</v>
      </c>
      <c r="D53" s="5" t="s">
        <v>305</v>
      </c>
      <c r="E53" s="5" t="s">
        <v>306</v>
      </c>
      <c r="F53" s="5" t="s">
        <v>307</v>
      </c>
      <c r="G53" s="9" t="s">
        <v>104</v>
      </c>
      <c r="H53" s="7" t="s">
        <v>30</v>
      </c>
      <c r="I53" s="5" t="s">
        <v>308</v>
      </c>
    </row>
    <row r="54" customFormat="false" ht="43.5" hidden="false" customHeight="true" outlineLevel="0" collapsed="false">
      <c r="A54" s="5" t="s">
        <v>309</v>
      </c>
      <c r="B54" s="5" t="s">
        <v>310</v>
      </c>
      <c r="C54" s="5" t="s">
        <v>311</v>
      </c>
      <c r="D54" s="5" t="s">
        <v>312</v>
      </c>
      <c r="E54" s="5" t="s">
        <v>313</v>
      </c>
      <c r="F54" s="5" t="s">
        <v>314</v>
      </c>
      <c r="G54" s="9" t="s">
        <v>104</v>
      </c>
      <c r="H54" s="7" t="s">
        <v>30</v>
      </c>
      <c r="I54" s="5" t="s">
        <v>315</v>
      </c>
    </row>
    <row r="55" customFormat="false" ht="57.75" hidden="false" customHeight="true" outlineLevel="0" collapsed="false">
      <c r="A55" s="5" t="s">
        <v>316</v>
      </c>
      <c r="B55" s="5" t="s">
        <v>317</v>
      </c>
      <c r="C55" s="5" t="s">
        <v>318</v>
      </c>
      <c r="D55" s="5" t="s">
        <v>319</v>
      </c>
      <c r="E55" s="5" t="s">
        <v>320</v>
      </c>
      <c r="F55" s="5" t="s">
        <v>321</v>
      </c>
      <c r="G55" s="9" t="s">
        <v>104</v>
      </c>
      <c r="H55" s="7" t="s">
        <v>30</v>
      </c>
      <c r="I55" s="5" t="s">
        <v>322</v>
      </c>
    </row>
    <row r="56" customFormat="false" ht="57.75" hidden="false" customHeight="true" outlineLevel="0" collapsed="false">
      <c r="A56" s="5" t="s">
        <v>323</v>
      </c>
      <c r="B56" s="5" t="s">
        <v>324</v>
      </c>
      <c r="C56" s="5" t="s">
        <v>325</v>
      </c>
      <c r="D56" s="5" t="s">
        <v>26</v>
      </c>
      <c r="E56" s="5" t="s">
        <v>326</v>
      </c>
      <c r="F56" s="5" t="s">
        <v>327</v>
      </c>
      <c r="G56" s="9" t="s">
        <v>104</v>
      </c>
      <c r="H56" s="7" t="s">
        <v>30</v>
      </c>
      <c r="I56" s="5" t="s">
        <v>328</v>
      </c>
    </row>
    <row r="57" customFormat="false" ht="43.5" hidden="false" customHeight="true" outlineLevel="0" collapsed="false">
      <c r="A57" s="5" t="s">
        <v>329</v>
      </c>
      <c r="B57" s="5" t="s">
        <v>330</v>
      </c>
      <c r="C57" s="5" t="s">
        <v>331</v>
      </c>
      <c r="D57" s="5" t="s">
        <v>26</v>
      </c>
      <c r="E57" s="5" t="s">
        <v>332</v>
      </c>
      <c r="F57" s="5" t="s">
        <v>333</v>
      </c>
      <c r="G57" s="9" t="s">
        <v>104</v>
      </c>
      <c r="H57" s="8" t="s">
        <v>49</v>
      </c>
      <c r="I57" s="5" t="s">
        <v>334</v>
      </c>
    </row>
    <row r="58" customFormat="false" ht="57.75" hidden="false" customHeight="true" outlineLevel="0" collapsed="false">
      <c r="A58" s="5" t="s">
        <v>335</v>
      </c>
      <c r="B58" s="5" t="s">
        <v>336</v>
      </c>
      <c r="C58" s="5" t="s">
        <v>337</v>
      </c>
      <c r="D58" s="5" t="s">
        <v>338</v>
      </c>
      <c r="E58" s="5" t="s">
        <v>339</v>
      </c>
      <c r="F58" s="5" t="s">
        <v>340</v>
      </c>
      <c r="G58" s="6" t="s">
        <v>29</v>
      </c>
      <c r="H58" s="7" t="s">
        <v>30</v>
      </c>
      <c r="I58" s="5" t="s">
        <v>341</v>
      </c>
    </row>
    <row r="59" customFormat="false" ht="57.75" hidden="false" customHeight="true" outlineLevel="0" collapsed="false">
      <c r="A59" s="5" t="s">
        <v>342</v>
      </c>
      <c r="B59" s="5" t="s">
        <v>343</v>
      </c>
      <c r="C59" s="5" t="s">
        <v>344</v>
      </c>
      <c r="D59" s="5" t="s">
        <v>345</v>
      </c>
      <c r="E59" s="5" t="s">
        <v>346</v>
      </c>
      <c r="F59" s="5" t="s">
        <v>347</v>
      </c>
      <c r="G59" s="6" t="s">
        <v>29</v>
      </c>
      <c r="H59" s="7" t="s">
        <v>30</v>
      </c>
      <c r="I59" s="5" t="s">
        <v>348</v>
      </c>
    </row>
    <row r="60" customFormat="false" ht="57.75" hidden="false" customHeight="true" outlineLevel="0" collapsed="false">
      <c r="A60" s="5" t="s">
        <v>349</v>
      </c>
      <c r="B60" s="5" t="s">
        <v>350</v>
      </c>
      <c r="C60" s="5" t="s">
        <v>351</v>
      </c>
      <c r="D60" s="5" t="s">
        <v>352</v>
      </c>
      <c r="E60" s="5" t="s">
        <v>353</v>
      </c>
      <c r="F60" s="5" t="s">
        <v>354</v>
      </c>
      <c r="G60" s="6" t="s">
        <v>29</v>
      </c>
      <c r="H60" s="8" t="s">
        <v>49</v>
      </c>
      <c r="I60" s="5" t="s">
        <v>355</v>
      </c>
    </row>
    <row r="61" customFormat="false" ht="57.75" hidden="false" customHeight="true" outlineLevel="0" collapsed="false">
      <c r="A61" s="5" t="s">
        <v>356</v>
      </c>
      <c r="B61" s="5" t="s">
        <v>357</v>
      </c>
      <c r="C61" s="5" t="s">
        <v>358</v>
      </c>
      <c r="D61" s="5" t="s">
        <v>359</v>
      </c>
      <c r="E61" s="5" t="s">
        <v>360</v>
      </c>
      <c r="F61" s="5" t="s">
        <v>361</v>
      </c>
      <c r="G61" s="6" t="s">
        <v>29</v>
      </c>
      <c r="H61" s="7" t="s">
        <v>30</v>
      </c>
      <c r="I61" s="5" t="s">
        <v>362</v>
      </c>
    </row>
    <row r="62" customFormat="false" ht="57.75" hidden="false" customHeight="true" outlineLevel="0" collapsed="false">
      <c r="A62" s="5" t="s">
        <v>363</v>
      </c>
      <c r="B62" s="5" t="s">
        <v>364</v>
      </c>
      <c r="C62" s="5" t="s">
        <v>365</v>
      </c>
      <c r="D62" s="5" t="s">
        <v>366</v>
      </c>
      <c r="E62" s="5" t="s">
        <v>367</v>
      </c>
      <c r="F62" s="5" t="s">
        <v>368</v>
      </c>
      <c r="G62" s="6" t="s">
        <v>29</v>
      </c>
      <c r="H62" s="8" t="s">
        <v>49</v>
      </c>
      <c r="I62" s="5" t="s">
        <v>369</v>
      </c>
    </row>
    <row r="63" customFormat="false" ht="57.75" hidden="false" customHeight="true" outlineLevel="0" collapsed="false">
      <c r="A63" s="5" t="s">
        <v>370</v>
      </c>
      <c r="B63" s="5" t="s">
        <v>371</v>
      </c>
      <c r="C63" s="5" t="s">
        <v>372</v>
      </c>
      <c r="D63" s="5" t="s">
        <v>26</v>
      </c>
      <c r="E63" s="5" t="s">
        <v>373</v>
      </c>
      <c r="F63" s="5" t="s">
        <v>374</v>
      </c>
      <c r="G63" s="6" t="s">
        <v>29</v>
      </c>
      <c r="H63" s="7" t="s">
        <v>30</v>
      </c>
      <c r="I63" s="5" t="s">
        <v>375</v>
      </c>
    </row>
    <row r="64" customFormat="false" ht="43.5" hidden="false" customHeight="true" outlineLevel="0" collapsed="false">
      <c r="A64" s="5" t="s">
        <v>376</v>
      </c>
      <c r="B64" s="5" t="s">
        <v>377</v>
      </c>
      <c r="C64" s="5" t="s">
        <v>378</v>
      </c>
      <c r="D64" s="5" t="s">
        <v>26</v>
      </c>
      <c r="E64" s="5" t="s">
        <v>379</v>
      </c>
      <c r="F64" s="5" t="s">
        <v>380</v>
      </c>
      <c r="G64" s="6" t="s">
        <v>29</v>
      </c>
      <c r="H64" s="8" t="s">
        <v>49</v>
      </c>
      <c r="I64" s="5" t="s">
        <v>381</v>
      </c>
    </row>
    <row r="65" customFormat="false" ht="43.5" hidden="false" customHeight="true" outlineLevel="0" collapsed="false">
      <c r="A65" s="5" t="s">
        <v>382</v>
      </c>
      <c r="B65" s="5" t="s">
        <v>383</v>
      </c>
      <c r="C65" s="5" t="s">
        <v>384</v>
      </c>
      <c r="D65" s="5" t="s">
        <v>385</v>
      </c>
      <c r="E65" s="5" t="s">
        <v>386</v>
      </c>
      <c r="F65" s="5" t="s">
        <v>387</v>
      </c>
      <c r="G65" s="6" t="s">
        <v>29</v>
      </c>
      <c r="H65" s="8" t="s">
        <v>49</v>
      </c>
      <c r="I65" s="5" t="s">
        <v>388</v>
      </c>
    </row>
    <row r="66" customFormat="false" ht="43.5" hidden="false" customHeight="true" outlineLevel="0" collapsed="false">
      <c r="A66" s="5" t="s">
        <v>389</v>
      </c>
      <c r="B66" s="5" t="s">
        <v>390</v>
      </c>
      <c r="C66" s="5" t="s">
        <v>391</v>
      </c>
      <c r="D66" s="5" t="s">
        <v>392</v>
      </c>
      <c r="E66" s="5" t="s">
        <v>393</v>
      </c>
      <c r="F66" s="5" t="s">
        <v>394</v>
      </c>
      <c r="G66" s="9" t="s">
        <v>104</v>
      </c>
      <c r="H66" s="8" t="s">
        <v>49</v>
      </c>
      <c r="I66" s="5" t="s">
        <v>395</v>
      </c>
    </row>
    <row r="67" customFormat="false" ht="43.5" hidden="false" customHeight="true" outlineLevel="0" collapsed="false">
      <c r="A67" s="5" t="s">
        <v>396</v>
      </c>
      <c r="B67" s="5" t="s">
        <v>397</v>
      </c>
      <c r="C67" s="5" t="s">
        <v>398</v>
      </c>
      <c r="D67" s="5" t="s">
        <v>26</v>
      </c>
      <c r="E67" s="5" t="s">
        <v>399</v>
      </c>
      <c r="F67" s="5" t="s">
        <v>400</v>
      </c>
      <c r="G67" s="6" t="s">
        <v>29</v>
      </c>
      <c r="H67" s="8" t="s">
        <v>49</v>
      </c>
      <c r="I67" s="5" t="s">
        <v>401</v>
      </c>
    </row>
    <row r="68" customFormat="false" ht="43.5" hidden="false" customHeight="true" outlineLevel="0" collapsed="false">
      <c r="A68" s="5" t="s">
        <v>402</v>
      </c>
      <c r="B68" s="5" t="s">
        <v>403</v>
      </c>
      <c r="C68" s="5" t="s">
        <v>404</v>
      </c>
      <c r="D68" s="5" t="s">
        <v>26</v>
      </c>
      <c r="E68" s="5" t="s">
        <v>405</v>
      </c>
      <c r="F68" s="5" t="s">
        <v>406</v>
      </c>
      <c r="G68" s="9" t="s">
        <v>104</v>
      </c>
      <c r="H68" s="8" t="s">
        <v>49</v>
      </c>
      <c r="I68" s="5" t="s">
        <v>407</v>
      </c>
    </row>
    <row r="69" customFormat="false" ht="43.5" hidden="false" customHeight="true" outlineLevel="0" collapsed="false">
      <c r="A69" s="5" t="s">
        <v>408</v>
      </c>
      <c r="B69" s="5" t="s">
        <v>409</v>
      </c>
      <c r="C69" s="5" t="s">
        <v>410</v>
      </c>
      <c r="D69" s="5" t="s">
        <v>26</v>
      </c>
      <c r="E69" s="5" t="s">
        <v>411</v>
      </c>
      <c r="F69" s="5" t="s">
        <v>412</v>
      </c>
      <c r="G69" s="9" t="s">
        <v>104</v>
      </c>
      <c r="H69" s="10" t="s">
        <v>157</v>
      </c>
      <c r="I69" s="5" t="s">
        <v>413</v>
      </c>
    </row>
    <row r="70" customFormat="false" ht="57.75" hidden="false" customHeight="true" outlineLevel="0" collapsed="false">
      <c r="A70" s="5" t="s">
        <v>414</v>
      </c>
      <c r="B70" s="5" t="s">
        <v>415</v>
      </c>
      <c r="C70" s="5" t="s">
        <v>416</v>
      </c>
      <c r="D70" s="5" t="s">
        <v>26</v>
      </c>
      <c r="E70" s="5" t="s">
        <v>417</v>
      </c>
      <c r="F70" s="5" t="s">
        <v>418</v>
      </c>
      <c r="G70" s="6" t="s">
        <v>29</v>
      </c>
      <c r="H70" s="10" t="s">
        <v>157</v>
      </c>
      <c r="I70" s="5" t="s">
        <v>419</v>
      </c>
    </row>
    <row r="71" customFormat="false" ht="43.5" hidden="false" customHeight="true" outlineLevel="0" collapsed="false">
      <c r="A71" s="5" t="s">
        <v>420</v>
      </c>
      <c r="B71" s="5" t="s">
        <v>421</v>
      </c>
      <c r="C71" s="5" t="s">
        <v>422</v>
      </c>
      <c r="D71" s="5" t="s">
        <v>26</v>
      </c>
      <c r="E71" s="5" t="s">
        <v>423</v>
      </c>
      <c r="F71" s="5" t="s">
        <v>424</v>
      </c>
      <c r="G71" s="6" t="s">
        <v>29</v>
      </c>
      <c r="H71" s="10" t="s">
        <v>157</v>
      </c>
      <c r="I71" s="5" t="s">
        <v>425</v>
      </c>
    </row>
    <row r="72" customFormat="false" ht="57.75" hidden="false" customHeight="true" outlineLevel="0" collapsed="false">
      <c r="A72" s="5" t="s">
        <v>426</v>
      </c>
      <c r="B72" s="5" t="s">
        <v>427</v>
      </c>
      <c r="C72" s="5" t="s">
        <v>428</v>
      </c>
      <c r="D72" s="5" t="s">
        <v>26</v>
      </c>
      <c r="E72" s="5" t="s">
        <v>429</v>
      </c>
      <c r="F72" s="5" t="s">
        <v>430</v>
      </c>
      <c r="G72" s="6" t="s">
        <v>29</v>
      </c>
      <c r="H72" s="8" t="s">
        <v>49</v>
      </c>
      <c r="I72" s="5" t="s">
        <v>431</v>
      </c>
    </row>
    <row r="73" customFormat="false" ht="43.5" hidden="false" customHeight="true" outlineLevel="0" collapsed="false">
      <c r="A73" s="5" t="s">
        <v>432</v>
      </c>
      <c r="B73" s="5" t="s">
        <v>433</v>
      </c>
      <c r="C73" s="5" t="s">
        <v>434</v>
      </c>
      <c r="D73" s="5" t="s">
        <v>435</v>
      </c>
      <c r="E73" s="5" t="s">
        <v>436</v>
      </c>
      <c r="F73" s="5" t="s">
        <v>437</v>
      </c>
      <c r="G73" s="9" t="s">
        <v>104</v>
      </c>
      <c r="H73" s="8" t="s">
        <v>49</v>
      </c>
      <c r="I73" s="5" t="s">
        <v>438</v>
      </c>
    </row>
    <row r="74" customFormat="false" ht="43.5" hidden="false" customHeight="true" outlineLevel="0" collapsed="false">
      <c r="A74" s="5" t="s">
        <v>439</v>
      </c>
      <c r="B74" s="5" t="s">
        <v>440</v>
      </c>
      <c r="C74" s="5" t="s">
        <v>441</v>
      </c>
      <c r="D74" s="5" t="s">
        <v>26</v>
      </c>
      <c r="E74" s="5" t="s">
        <v>442</v>
      </c>
      <c r="F74" s="5" t="s">
        <v>443</v>
      </c>
      <c r="G74" s="9" t="s">
        <v>104</v>
      </c>
      <c r="H74" s="7" t="s">
        <v>30</v>
      </c>
      <c r="I74" s="5" t="s">
        <v>444</v>
      </c>
    </row>
    <row r="75" customFormat="false" ht="43.5" hidden="false" customHeight="true" outlineLevel="0" collapsed="false">
      <c r="A75" s="5" t="s">
        <v>445</v>
      </c>
      <c r="B75" s="5" t="s">
        <v>446</v>
      </c>
      <c r="C75" s="5" t="s">
        <v>447</v>
      </c>
      <c r="D75" s="5" t="s">
        <v>26</v>
      </c>
      <c r="E75" s="5" t="s">
        <v>448</v>
      </c>
      <c r="F75" s="5" t="s">
        <v>449</v>
      </c>
      <c r="G75" s="6" t="s">
        <v>29</v>
      </c>
      <c r="H75" s="10" t="s">
        <v>157</v>
      </c>
      <c r="I75" s="5" t="s">
        <v>450</v>
      </c>
    </row>
    <row r="76" customFormat="false" ht="57.75" hidden="false" customHeight="true" outlineLevel="0" collapsed="false">
      <c r="A76" s="5" t="s">
        <v>451</v>
      </c>
      <c r="B76" s="5" t="s">
        <v>452</v>
      </c>
      <c r="C76" s="5" t="s">
        <v>453</v>
      </c>
      <c r="D76" s="5" t="s">
        <v>26</v>
      </c>
      <c r="E76" s="5" t="s">
        <v>454</v>
      </c>
      <c r="F76" s="5" t="s">
        <v>455</v>
      </c>
      <c r="G76" s="6" t="s">
        <v>29</v>
      </c>
      <c r="H76" s="10" t="s">
        <v>157</v>
      </c>
      <c r="I76" s="5" t="s">
        <v>456</v>
      </c>
    </row>
    <row r="77" customFormat="false" ht="43.5" hidden="false" customHeight="true" outlineLevel="0" collapsed="false">
      <c r="A77" s="5" t="s">
        <v>457</v>
      </c>
      <c r="B77" s="5" t="s">
        <v>458</v>
      </c>
      <c r="C77" s="5" t="s">
        <v>459</v>
      </c>
      <c r="D77" s="5" t="s">
        <v>460</v>
      </c>
      <c r="E77" s="5" t="s">
        <v>461</v>
      </c>
      <c r="F77" s="5" t="s">
        <v>462</v>
      </c>
      <c r="G77" s="6" t="s">
        <v>29</v>
      </c>
      <c r="H77" s="8" t="s">
        <v>49</v>
      </c>
      <c r="I77" s="5" t="s">
        <v>463</v>
      </c>
    </row>
    <row r="78" customFormat="false" ht="57.75" hidden="false" customHeight="true" outlineLevel="0" collapsed="false">
      <c r="A78" s="5" t="s">
        <v>464</v>
      </c>
      <c r="B78" s="5" t="s">
        <v>465</v>
      </c>
      <c r="C78" s="5" t="s">
        <v>466</v>
      </c>
      <c r="D78" s="5" t="s">
        <v>467</v>
      </c>
      <c r="E78" s="5" t="s">
        <v>468</v>
      </c>
      <c r="F78" s="5" t="s">
        <v>469</v>
      </c>
      <c r="G78" s="6" t="s">
        <v>29</v>
      </c>
      <c r="H78" s="10" t="s">
        <v>157</v>
      </c>
      <c r="I78" s="5" t="s">
        <v>470</v>
      </c>
    </row>
    <row r="79" customFormat="false" ht="43.5" hidden="false" customHeight="true" outlineLevel="0" collapsed="false">
      <c r="A79" s="5" t="s">
        <v>471</v>
      </c>
      <c r="B79" s="5" t="s">
        <v>472</v>
      </c>
      <c r="C79" s="5" t="s">
        <v>473</v>
      </c>
      <c r="D79" s="5" t="s">
        <v>26</v>
      </c>
      <c r="E79" s="5" t="s">
        <v>474</v>
      </c>
      <c r="F79" s="5" t="s">
        <v>475</v>
      </c>
      <c r="G79" s="9" t="s">
        <v>104</v>
      </c>
      <c r="H79" s="8" t="s">
        <v>49</v>
      </c>
      <c r="I79" s="5" t="s">
        <v>476</v>
      </c>
    </row>
    <row r="82" customFormat="false" ht="15" hidden="false" customHeight="true" outlineLevel="0" collapsed="false">
      <c r="A82" s="12" t="s">
        <v>477</v>
      </c>
      <c r="B82" s="12"/>
      <c r="C82" s="12"/>
    </row>
    <row r="83" customFormat="false" ht="14.25" hidden="false" customHeight="false" outlineLevel="0" collapsed="false">
      <c r="A83" s="13" t="s">
        <v>478</v>
      </c>
      <c r="B83" s="0" t="n">
        <f aca="false">COUNTA(A10:A79)</f>
        <v>70</v>
      </c>
    </row>
    <row r="84" customFormat="false" ht="14.25" hidden="false" customHeight="false" outlineLevel="0" collapsed="false">
      <c r="A84" s="13" t="s">
        <v>479</v>
      </c>
      <c r="B84" s="0" t="n">
        <f aca="false">COUNTIF(H10:H79,"P0")</f>
        <v>27</v>
      </c>
    </row>
    <row r="85" customFormat="false" ht="14.25" hidden="false" customHeight="false" outlineLevel="0" collapsed="false">
      <c r="A85" s="13" t="s">
        <v>480</v>
      </c>
      <c r="B85" s="0" t="n">
        <f aca="false">COUNTIF(H10:H79,"P1")</f>
        <v>31</v>
      </c>
    </row>
    <row r="86" customFormat="false" ht="14.25" hidden="false" customHeight="false" outlineLevel="0" collapsed="false">
      <c r="A86" s="13" t="s">
        <v>481</v>
      </c>
      <c r="B86" s="0" t="n">
        <f aca="false">COUNTIF(H10:H79,"P2")</f>
        <v>12</v>
      </c>
    </row>
    <row r="87" customFormat="false" ht="14.25" hidden="false" customHeight="false" outlineLevel="0" collapsed="false">
      <c r="A87" s="13" t="s">
        <v>482</v>
      </c>
      <c r="B87" s="14" t="n">
        <f aca="false">COUNTIF(G10:G79,"Pass")</f>
        <v>43</v>
      </c>
    </row>
    <row r="88" customFormat="false" ht="14.25" hidden="false" customHeight="false" outlineLevel="0" collapsed="false">
      <c r="A88" s="13" t="s">
        <v>483</v>
      </c>
      <c r="B88" s="15" t="n">
        <f aca="false">COUNTIF(G10:G79,"Fail")</f>
        <v>26</v>
      </c>
    </row>
    <row r="89" customFormat="false" ht="14.25" hidden="false" customHeight="false" outlineLevel="0" collapsed="false">
      <c r="A89" s="13" t="s">
        <v>484</v>
      </c>
      <c r="B89" s="16" t="n">
        <f aca="false">COUNTIF(G10:G79,"N/A")</f>
        <v>1</v>
      </c>
    </row>
    <row r="90" customFormat="false" ht="14.25" hidden="false" customHeight="false" outlineLevel="0" collapsed="false">
      <c r="A90" s="13" t="s">
        <v>485</v>
      </c>
      <c r="B90" s="16" t="n">
        <f aca="false">COUNTIF(G10:G79,"Not Executed")</f>
        <v>0</v>
      </c>
    </row>
    <row r="91" customFormat="false" ht="14.25" hidden="false" customHeight="false" outlineLevel="0" collapsed="false">
      <c r="A91" s="13" t="s">
        <v>486</v>
      </c>
      <c r="B91" s="0" t="str">
        <f aca="false">ROUND(B87/(B83-B89)*100,1)&amp;"%"</f>
        <v>62.3%</v>
      </c>
    </row>
  </sheetData>
  <mergeCells count="1">
    <mergeCell ref="A82:C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2026-03-08T16:45:04Z</dcterms:created>
  <dc:creator>openpyxl</dc:creator>
  <dc:description/>
  <dc:language>en-US</dc:language>
  <cp:lastModifiedBy>Lohith Harish</cp:lastModifiedBy>
  <dcterms:modified xsi:type="dcterms:W3CDTF">2026-03-12T06:18:00Z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