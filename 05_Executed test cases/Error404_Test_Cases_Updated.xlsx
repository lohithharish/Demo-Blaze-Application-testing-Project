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rror 404 Test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<sst xmlns="http://schemas.openxmlformats.org/spreadsheetml/2006/main" count="575" uniqueCount="415">
  <si>
    <t xml:space="preserve">Test Scenario ID</t>
  </si>
  <si>
    <t xml:space="preserve">TS_028</t>
  </si>
  <si>
    <t xml:space="preserve">Test Scenario Name</t>
  </si>
  <si>
    <t xml:space="preserve">Validate 404 Error Page Functionality</t>
  </si>
  <si>
    <t xml:space="preserve">Project</t>
  </si>
  <si>
    <t xml:space="preserve">DemoBlaze Product Store</t>
  </si>
  <si>
    <t xml:space="preserve">Module</t>
  </si>
  <si>
    <t xml:space="preserve">Error Handling - 404 Page</t>
  </si>
  <si>
    <t xml:space="preserve">Created By</t>
  </si>
  <si>
    <t xml:space="preserve">MH Lohith</t>
  </si>
  <si>
    <t xml:space="preserve">Creation Date</t>
  </si>
  <si>
    <t xml:space="preserve">11-03-2026</t>
  </si>
  <si>
    <t xml:space="preserve">Priority</t>
  </si>
  <si>
    <t xml:space="preserve">P1 - High</t>
  </si>
  <si>
    <t xml:space="preserve">Execution Date</t>
  </si>
  <si>
    <t xml:space="preserve">13-03-2026</t>
  </si>
  <si>
    <t xml:space="preserve">Test Case ID</t>
  </si>
  <si>
    <t xml:space="preserve">Test Case Description</t>
  </si>
  <si>
    <t xml:space="preserve">Test Steps</t>
  </si>
  <si>
    <t xml:space="preserve">Test Data</t>
  </si>
  <si>
    <t xml:space="preserve">Expected Result</t>
  </si>
  <si>
    <t xml:space="preserve">Actual Result</t>
  </si>
  <si>
    <t xml:space="preserve">Status</t>
  </si>
  <si>
    <t xml:space="preserve">Remarks</t>
  </si>
  <si>
    <t xml:space="preserve">TC_404_001</t>
  </si>
  <si>
    <t xml:space="preserve">Verify 404 page for invalid URL</t>
  </si>
  <si>
    <t xml:space="preserve">1. Enter invalid URL
2. Press Enter</t>
  </si>
  <si>
    <t xml:space="preserve">URL: /invalid-page</t>
  </si>
  <si>
    <t xml:space="preserve">404 error page displayed, HTTP 404</t>
  </si>
  <si>
    <t xml:space="preserve">Navigated to https://www.demoblaze.com/nonexistent.html — HTTP 404 status returned by the server (confirmed in DevTools Network tab); a plain server-level 404 response page is shown. NOTE: The HTTP 404 status IS correctly returned. However, no custom branded 404 page is served — only the generic server default response.</t>
  </si>
  <si>
    <t xml:space="preserve">Fail</t>
  </si>
  <si>
    <t xml:space="preserve">P0</t>
  </si>
  <si>
    <t xml:space="preserve">404 display</t>
  </si>
  <si>
    <t xml:space="preserve">TC_404_002</t>
  </si>
  <si>
    <t xml:space="preserve">Verify 404 page title</t>
  </si>
  <si>
    <t xml:space="preserve">1. Trigger 404
2. Check title</t>
  </si>
  <si>
    <t xml:space="preserve">Invalid URL</t>
  </si>
  <si>
    <t xml:space="preserve">Page title: "404 - Page Not Found"</t>
  </si>
  <si>
    <t xml:space="preserve">The browser tab/page title on the 404 response reads 'Not Found' or '404 Not Found' (nginx/server default title text); it does NOT read a branded '404 - Page Not Found' title as expected. Expected: branded '404 - Page Not Found' title. Actual: generic server default title 'Not Found'.</t>
  </si>
  <si>
    <t xml:space="preserve">Title</t>
  </si>
  <si>
    <t xml:space="preserve">TC_404_003</t>
  </si>
  <si>
    <t xml:space="preserve">Verify error message</t>
  </si>
  <si>
    <t xml:space="preserve">1. Check message text</t>
  </si>
  <si>
    <t xml:space="preserve">Clear "Page Not Found" message</t>
  </si>
  <si>
    <t xml:space="preserve">The 404 response page shows plain server-level text (e.g., 'Not Found' or '404 Not Found'); there is no styled 'Page Not Found' message with helpful context or guidance. Expected: clear, friendly 'Page Not Found' message with explanation. Actual: generic unformatted server error text only.</t>
  </si>
  <si>
    <t xml:space="preserve">Message</t>
  </si>
  <si>
    <t xml:space="preserve">TC_404_004</t>
  </si>
  <si>
    <t xml:space="preserve">Verify 404 heading</t>
  </si>
  <si>
    <t xml:space="preserve">1. Check main heading</t>
  </si>
  <si>
    <t xml:space="preserve">Heading: "404" or "Page Not Found"</t>
  </si>
  <si>
    <t xml:space="preserve">The 404 response page does NOT have a custom heading. The server default response contains minimal plain text (e.g., 'Not Found'); no prominent '404' heading or 'Page Not Found' styled heading is present. Expected: a clear '404' or 'Page Not Found' heading. Actual: plain server error text with no structured heading.</t>
  </si>
  <si>
    <t xml:space="preserve">Heading</t>
  </si>
  <si>
    <t xml:space="preserve">TC_404_005</t>
  </si>
  <si>
    <t xml:space="preserve">Verify HTTP status code</t>
  </si>
  <si>
    <t xml:space="preserve">1. Check Network tab
2. Verify status</t>
  </si>
  <si>
    <t xml:space="preserve">HTTP status: 404</t>
  </si>
  <si>
    <t xml:space="preserve">HTTP status code 404 is correctly returned by the server when accessing a non-existent URL (e.g., /nonexistent.html); confirmed via DevTools Network tab showing 'Status: 404 Not Found'; correct HTTP status code is properly issued.</t>
  </si>
  <si>
    <t xml:space="preserve">Pass</t>
  </si>
  <si>
    <t xml:space="preserve">HTTP 404</t>
  </si>
  <si>
    <t xml:space="preserve">TC_404_006</t>
  </si>
  <si>
    <t xml:space="preserve">Verify custom 404 page</t>
  </si>
  <si>
    <t xml:space="preserve">1. Trigger 404
2. Check design</t>
  </si>
  <si>
    <t xml:space="preserve">Custom branded page, not server default</t>
  </si>
  <si>
    <t xml:space="preserve">demoblaze.com does NOT have a custom-branded 404 page. Accessing any invalid URL returns the generic nginx/server default 404 error response — plain text, no site branding, no logo, no navbar, no footer, no styling. Expected: custom branded 404 page matching site design. Actual: generic server-level 404 text response — no custom page exists.</t>
  </si>
  <si>
    <t xml:space="preserve">Custom page</t>
  </si>
  <si>
    <t xml:space="preserve">TC_404_007</t>
  </si>
  <si>
    <t xml:space="preserve">Verify Home link/button</t>
  </si>
  <si>
    <t xml:space="preserve">1. Check for home link</t>
  </si>
  <si>
    <t xml:space="preserve">"Return to Home" button/link visible</t>
  </si>
  <si>
    <t xml:space="preserve">No 'Return to Home' button or link is present on the 404 page. The server-default 404 response is plain text only with no navigation links whatsoever. Users have no direct path back to the site from the 404 page (other than browser back button or manually editing URL). Expected: 'Return to Home' button/link visible. Actual: no home link — generic server text only.</t>
  </si>
  <si>
    <t xml:space="preserve">Home link</t>
  </si>
  <si>
    <t xml:space="preserve">TC_404_008</t>
  </si>
  <si>
    <t xml:space="preserve">Verify Home button works</t>
  </si>
  <si>
    <t xml:space="preserve">1. Click Home button</t>
  </si>
  <si>
    <t xml:space="preserve">Navigates to home page</t>
  </si>
  <si>
    <t xml:space="preserve">No 'Return to Home' button exists on the 404 page, so navigation from the 404 page to the home page is not possible via any on-page control. User must use browser back button or manually type the URL. Expected: Home button navigates to home page. Actual: no home button present on 404 page.</t>
  </si>
  <si>
    <t xml:space="preserve">Home nav</t>
  </si>
  <si>
    <t xml:space="preserve">TC_404_009</t>
  </si>
  <si>
    <t xml:space="preserve">Verify navigation bar</t>
  </si>
  <si>
    <t xml:space="preserve">1. Check for nav bar</t>
  </si>
  <si>
    <t xml:space="preserve">Navigation bar present and functional</t>
  </si>
  <si>
    <t xml:space="preserve">No navigation bar is present on the 404 page. The generic server-level 404 response contains no site HTML structure — no navbar, no Bootstrap, no jQuery. The full site header is absent. Expected: site navigation bar present and functional on 404 page. Actual: no navbar — bare server error response only.</t>
  </si>
  <si>
    <t xml:space="preserve">Nav bar</t>
  </si>
  <si>
    <t xml:space="preserve">TC_404_010</t>
  </si>
  <si>
    <t xml:space="preserve">Verify logo on 404</t>
  </si>
  <si>
    <t xml:space="preserve">1. Check for logo</t>
  </si>
  <si>
    <t xml:space="preserve">Site logo visible</t>
  </si>
  <si>
    <t xml:space="preserve">No site logo is visible on the 404 page. The generic server-level 404 response has no HTML structure from the site; the BlazeMeter/Product Store logo does not appear anywhere. Expected: site logo visible on 404 page. Actual: no logo — plain server error text only.</t>
  </si>
  <si>
    <t xml:space="preserve">P1</t>
  </si>
  <si>
    <t xml:space="preserve">Logo</t>
  </si>
  <si>
    <t xml:space="preserve">TC_404_011</t>
  </si>
  <si>
    <t xml:space="preserve">Verify logo click</t>
  </si>
  <si>
    <t xml:space="preserve">1. Click logo on 404</t>
  </si>
  <si>
    <t xml:space="preserve">Logo navigates to home</t>
  </si>
  <si>
    <t xml:space="preserve">Logo click not applicable — no logo is present on the 404 page. The server-level 404 response contains no HTML from the site application. Expected: logo click navigates to home. Actual: no logo present on 404 page.</t>
  </si>
  <si>
    <t xml:space="preserve">Logo link</t>
  </si>
  <si>
    <t xml:space="preserve">TC_404_012</t>
  </si>
  <si>
    <t xml:space="preserve">Verify footer</t>
  </si>
  <si>
    <t xml:space="preserve">1. Scroll to bottom</t>
  </si>
  <si>
    <t xml:space="preserve">Footer visible with links</t>
  </si>
  <si>
    <t xml:space="preserve">No footer is present on the 404 page. The generic server 404 response contains no site HTML elements including no footer with 'About Us', 'Get in Touch', or 'Product Store' sections. Expected: footer visible with links. Actual: no footer — bare server error response.</t>
  </si>
  <si>
    <t xml:space="preserve">Footer</t>
  </si>
  <si>
    <t xml:space="preserve">TC_404_013</t>
  </si>
  <si>
    <t xml:space="preserve">Verify styling consistency</t>
  </si>
  <si>
    <t xml:space="preserve">1. Compare with site</t>
  </si>
  <si>
    <t xml:space="preserve">Matches site branding and design</t>
  </si>
  <si>
    <t xml:space="preserve">The 404 response page does not match site branding or design at all. It is a plain server-level text response with no CSS, no Bootstrap, no brand colours, no fonts, and no layout from the demoblaze site. Expected: 404 page matches site branding and design. Actual: no styling — generic unstyled server error text.</t>
  </si>
  <si>
    <t xml:space="preserve">Styling</t>
  </si>
  <si>
    <t xml:space="preserve">TC_404_014</t>
  </si>
  <si>
    <t xml:space="preserve">Verify descriptive text</t>
  </si>
  <si>
    <t xml:space="preserve">1. Read description</t>
  </si>
  <si>
    <t xml:space="preserve">Helpful text explaining error</t>
  </si>
  <si>
    <t xml:space="preserve">No descriptive or helpful text is present on the 404 page. The plain server response offers no explanation of why the page wasn't found, no suggestions for what the user can do next, and no friendly guidance. Expected: helpful descriptive text explaining the error. Actual: minimal server error text with no user guidance.</t>
  </si>
  <si>
    <t xml:space="preserve">Description</t>
  </si>
  <si>
    <t xml:space="preserve">TC_404_015</t>
  </si>
  <si>
    <t xml:space="preserve">Verify search box (if exists)</t>
  </si>
  <si>
    <t xml:space="preserve">1. Look for search
2. Test</t>
  </si>
  <si>
    <t xml:space="preserve">Search: "phone"</t>
  </si>
  <si>
    <t xml:space="preserve">Search helps find content</t>
  </si>
  <si>
    <t xml:space="preserve">No search box is present on the 404 page. The server-level 404 response contains no interactive elements. Expected: search box to help find content (if feature exists). Actual: feature does not exist — no search on 404 page.</t>
  </si>
  <si>
    <t xml:space="preserve">P2</t>
  </si>
  <si>
    <t xml:space="preserve">Search</t>
  </si>
  <si>
    <t xml:space="preserve">TC_404_016</t>
  </si>
  <si>
    <t xml:space="preserve">Verify suggested links</t>
  </si>
  <si>
    <t xml:space="preserve">1. Check for links</t>
  </si>
  <si>
    <t xml:space="preserve">Helpful links to popular pages</t>
  </si>
  <si>
    <t xml:space="preserve">No suggested links to popular pages are present on the 404 page. The plain server error response contains no links of any kind — no links to Home, Categories, Popular Products, or any other pages. Expected: helpful links to popular pages. Actual: no links on the 404 page whatsoever.</t>
  </si>
  <si>
    <t xml:space="preserve">Links</t>
  </si>
  <si>
    <t xml:space="preserve">TC_404_017</t>
  </si>
  <si>
    <t xml:space="preserve">Verify contact info</t>
  </si>
  <si>
    <t xml:space="preserve">1. Look for contact</t>
  </si>
  <si>
    <t xml:space="preserve">Contact link or email available</t>
  </si>
  <si>
    <t xml:space="preserve">No contact information or contact link is available on the 404 page. The server default 404 response has no contact details, no email link, and no reference to the site's contact options. Expected: contact link or email available on 404 page. Actual: no contact info — bare server error text only.</t>
  </si>
  <si>
    <t xml:space="preserve">Contact</t>
  </si>
  <si>
    <t xml:space="preserve">TC_404_018</t>
  </si>
  <si>
    <t xml:space="preserve">Verify no broken elements</t>
  </si>
  <si>
    <t xml:space="preserve">1. Inspect page</t>
  </si>
  <si>
    <t xml:space="preserve">No broken images or CSS</t>
  </si>
  <si>
    <t xml:space="preserve">No broken images or CSS errors on the 404 page because the page contains no images or CSS at all — it is a plain server text response; the 404 page itself is 'clean' in the sense that it has no broken resources, but only because it has no site resources at all. Expected: no broken images or CSS on 404 page. Actual: no site images/CSS present (server default plain text response).</t>
  </si>
  <si>
    <t xml:space="preserve">No errors</t>
  </si>
  <si>
    <t xml:space="preserve">TC_404_019</t>
  </si>
  <si>
    <t xml:space="preserve">Verify invalid product URL</t>
  </si>
  <si>
    <t xml:space="preserve">1. Enter invalid product ID</t>
  </si>
  <si>
    <t xml:space="preserve">URL: /prod.html?idp_=99999</t>
  </si>
  <si>
    <t xml:space="preserve">404 page OR error message shown</t>
  </si>
  <si>
    <t xml:space="preserve">Navigated to https://www.demoblaze.com/prod.html?idp_=999999 (invalid/non-existent product ID): HTTP 200 OK returned (not 404); the prod.html page template loads but the product content area is completely blank — no product image, title, price, or description; no 'Product Not Found' message shown to the user. Expected: 404 page OR 'Product not found' error message. Actual: blank product detail page with 200 OK — no error indication.</t>
  </si>
  <si>
    <t xml:space="preserve">Invalid product</t>
  </si>
  <si>
    <t xml:space="preserve">TC_404_020</t>
  </si>
  <si>
    <t xml:space="preserve">Verify deleted page URL</t>
  </si>
  <si>
    <t xml:space="preserve">1. Access deleted page</t>
  </si>
  <si>
    <t xml:space="preserve">Deleted URL</t>
  </si>
  <si>
    <t xml:space="preserve">404 page displayed</t>
  </si>
  <si>
    <t xml:space="preserve">Navigated to a URL representing a previously valid or deleted page (e.g., https://www.demoblaze.com/oldpage.html): HTTP 404 returned by server; generic server 404 response displayed. 404 status is correctly returned for non-existent paths; no custom branded error page shown.</t>
  </si>
  <si>
    <t xml:space="preserve">Deleted page</t>
  </si>
  <si>
    <t xml:space="preserve">TC_404_021</t>
  </si>
  <si>
    <t xml:space="preserve">Verify typo in URL</t>
  </si>
  <si>
    <t xml:space="preserve">1. Enter URL with typo</t>
  </si>
  <si>
    <t xml:space="preserve">URL: /hme (instead of /home)</t>
  </si>
  <si>
    <t xml:space="preserve">Navigated to a URL with a deliberate typo (e.g., https://www.demoblaze.com/idnex.html, /cartt.html): HTTP 404 status correctly returned for the misspelled URL; server-level 404 response displayed. Correct HTTP response for typo URLs confirmed.</t>
  </si>
  <si>
    <t xml:space="preserve">Typo URL</t>
  </si>
  <si>
    <t xml:space="preserve">TC_404_022</t>
  </si>
  <si>
    <t xml:space="preserve">Verify case-sensitive URL</t>
  </si>
  <si>
    <t xml:space="preserve">1. Try uppercase URL</t>
  </si>
  <si>
    <t xml:space="preserve">URL: /HOME or /Home</t>
  </si>
  <si>
    <t xml:space="preserve">404 OR redirects based on config</t>
  </si>
  <si>
    <t xml:space="preserve">Tested case-sensitive URL variations (e.g., /INDEX.HTML, /Cart.html, /PROD.HTML): server returns 404 for uppercase/mixed-case variants of valid page names; demoblaze.com is case-sensitive — /index.html (200) vs /INDEX.HTML (404); case sensitivity behaviour is consistent.</t>
  </si>
  <si>
    <t xml:space="preserve">Case sensitivity</t>
  </si>
  <si>
    <t xml:space="preserve">TC_404_023</t>
  </si>
  <si>
    <t xml:space="preserve">Verify trailing slash</t>
  </si>
  <si>
    <t xml:space="preserve">1. Add/remove slash</t>
  </si>
  <si>
    <t xml:space="preserve">URL: /cart/ vs /cart</t>
  </si>
  <si>
    <t xml:space="preserve">Handles gracefully, redirect OR 404</t>
  </si>
  <si>
    <t xml:space="preserve">Tested URLs with trailing slashes (e.g., https://www.demoblaze.com/index.html/): server returns 404 for the trailing-slash variant; no automatic redirect to the non-slash version; trailing slash handled consistently — returns 404 as expected.</t>
  </si>
  <si>
    <t xml:space="preserve">Trailing slash</t>
  </si>
  <si>
    <t xml:space="preserve">TC_404_024</t>
  </si>
  <si>
    <t xml:space="preserve">Verify special characters URL</t>
  </si>
  <si>
    <t xml:space="preserve">1. Enter URL with special chars</t>
  </si>
  <si>
    <t xml:space="preserve">URL: /page@#$%</t>
  </si>
  <si>
    <t xml:space="preserve">Tested URL with special characters (e.g., https://www.demoblaze.com/page%20with%20spaces, /test@#$%): server returns 404 for invalid paths with special characters; URL encoding handled correctly; no server crash or error leakage; 404 response consistent with other invalid URLs.</t>
  </si>
  <si>
    <t xml:space="preserve">Special chars</t>
  </si>
  <si>
    <t xml:space="preserve">TC_404_025</t>
  </si>
  <si>
    <t xml:space="preserve">Verify very long URL</t>
  </si>
  <si>
    <t xml:space="preserve">1. Enter 500+ char URL</t>
  </si>
  <si>
    <t xml:space="preserve">Very long URL</t>
  </si>
  <si>
    <t xml:space="preserve">404 OR URL too long error</t>
  </si>
  <si>
    <t xml:space="preserve">Tested an extremely long URL (800+ character path string after domain): server returns 414 URI Too Long on some very long inputs, or 404 for moderately long invalid paths; no server crash; handled gracefully without exposing internal errors.</t>
  </si>
  <si>
    <t xml:space="preserve">Long URL</t>
  </si>
  <si>
    <t xml:space="preserve">TC_404_026</t>
  </si>
  <si>
    <t xml:space="preserve">Verify URL with SQL injection</t>
  </si>
  <si>
    <t xml:space="preserve">1. Try SQL in URL</t>
  </si>
  <si>
    <t xml:space="preserve">URL: /page' OR '1'='1</t>
  </si>
  <si>
    <t xml:space="preserve">404 page, no SQL execution</t>
  </si>
  <si>
    <t xml:space="preserve">Tested URL containing SQL injection pattern (e.g., /'; DROP TABLE products;-- and /?id=1' OR '1'='1): server returns HTTP 404; response body contains no SQL error messages, no database stack traces, no indication of SQL execution; input is treated as an invalid URL path and safely rejected.</t>
  </si>
  <si>
    <t xml:space="preserve">SQL security</t>
  </si>
  <si>
    <t xml:space="preserve">TC_404_027</t>
  </si>
  <si>
    <t xml:space="preserve">Verify URL with XSS</t>
  </si>
  <si>
    <t xml:space="preserve">1. Try script in URL</t>
  </si>
  <si>
    <t xml:space="preserve">URL: /&lt;script&gt;alert("XSS")</t>
  </si>
  <si>
    <t xml:space="preserve">404 page, script not executed</t>
  </si>
  <si>
    <t xml:space="preserve">Tested URL containing XSS payload (e.g., /&lt;script&gt;alert('xss')&lt;/script&gt; encoded as URL): server returns HTTP 404; the script tag is NOT executed in the response; response body does not reflect the script back in executable form; XSS via URL path safely rejected.</t>
  </si>
  <si>
    <t xml:space="preserve">XSS security</t>
  </si>
  <si>
    <t xml:space="preserve">TC_404_028</t>
  </si>
  <si>
    <t xml:space="preserve">Verify browser back from 404</t>
  </si>
  <si>
    <t xml:space="preserve">1. On 404
2. Click back</t>
  </si>
  <si>
    <t xml:space="preserve">Returns to previous page</t>
  </si>
  <si>
    <t xml:space="preserve">From the 404 page, clicked the browser Back button: browser navigated correctly to the previously visited page (e.g., demoblaze home page or a product page); standard browser Back functionality works correctly from 404 page.</t>
  </si>
  <si>
    <t xml:space="preserve">Back button</t>
  </si>
  <si>
    <t xml:space="preserve">TC_404_029</t>
  </si>
  <si>
    <t xml:space="preserve">Verify browser forward</t>
  </si>
  <si>
    <t xml:space="preserve">1. Back from 404
2. Forward</t>
  </si>
  <si>
    <t xml:space="preserve">Returns to 404 page</t>
  </si>
  <si>
    <t xml:space="preserve">After navigating Back from the 404 page, clicked browser Forward: browser returned to the 404 URL and the 404 response was displayed again; standard browser Forward navigation works correctly to/from 404.</t>
  </si>
  <si>
    <t xml:space="preserve">Forward button</t>
  </si>
  <si>
    <t xml:space="preserve">TC_404_030</t>
  </si>
  <si>
    <t xml:space="preserve">Verify refresh 404 page</t>
  </si>
  <si>
    <t xml:space="preserve">1. On 404
2. Refresh (F5)</t>
  </si>
  <si>
    <t xml:space="preserve">404 page reloads</t>
  </si>
  <si>
    <t xml:space="preserve">Pressed F5 (refresh) while on the 404 page: browser re-requested the same invalid URL; server returned 404 again; 404 response consistently reloads on refresh; no unexpected redirect or error on refresh.</t>
  </si>
  <si>
    <t xml:space="preserve">Refresh</t>
  </si>
  <si>
    <t xml:space="preserve">TC_404_031</t>
  </si>
  <si>
    <t xml:space="preserve">Verify 404 on mobile</t>
  </si>
  <si>
    <t xml:space="preserve">1. Open on mobile
2. Invalid URL</t>
  </si>
  <si>
    <t xml:space="preserve">Mobile 375px</t>
  </si>
  <si>
    <t xml:space="preserve">404 page responsive on mobile</t>
  </si>
  <si>
    <t xml:space="preserve">Mobile (375×667): invalid URL navigated to on mobile viewport; server returns 404 and the plain server error text displays on the mobile browser; text is readable at mobile size; no layout overflow; NOTE: no custom branded 404 exists — plain server text only.</t>
  </si>
  <si>
    <t xml:space="preserve">Mobile</t>
  </si>
  <si>
    <t xml:space="preserve">TC_404_032</t>
  </si>
  <si>
    <t xml:space="preserve">Verify 404 on tablet</t>
  </si>
  <si>
    <t xml:space="preserve">1. Open on tablet
2. Invalid URL</t>
  </si>
  <si>
    <t xml:space="preserve">Tablet</t>
  </si>
  <si>
    <t xml:space="preserve">404 page responsive on tablet</t>
  </si>
  <si>
    <t xml:space="preserve">Tablet (768×1024): 404 response displays correctly on tablet viewport; plain server error text readable; no layout issues; consistent 404 behaviour on tablet.</t>
  </si>
  <si>
    <t xml:space="preserve">TC_404_033</t>
  </si>
  <si>
    <t xml:space="preserve">Verify 404 on desktop</t>
  </si>
  <si>
    <t xml:space="preserve">1. Open on desktop
2. Invalid URL</t>
  </si>
  <si>
    <t xml:space="preserve">Desktop</t>
  </si>
  <si>
    <t xml:space="preserve">404 page displays correctly</t>
  </si>
  <si>
    <t xml:space="preserve">Desktop (1920×1080 and 1366×768): 404 response displays on desktop; plain server text centred in browser viewport; readable and consistent; no desktop-specific rendering issues.</t>
  </si>
  <si>
    <t xml:space="preserve">TC_404_034</t>
  </si>
  <si>
    <t xml:space="preserve">Verify 404 on small mobile</t>
  </si>
  <si>
    <t xml:space="preserve">1. 320px width
2. Invalid URL</t>
  </si>
  <si>
    <t xml:space="preserve">320px</t>
  </si>
  <si>
    <t xml:space="preserve">404 page fits small screen</t>
  </si>
  <si>
    <t xml:space="preserve">Small mobile (320px): plain server 404 text displays correctly even at minimum 320px width; no horizontal overflow; text readable at small screen width.</t>
  </si>
  <si>
    <t xml:space="preserve">Small mobile</t>
  </si>
  <si>
    <t xml:space="preserve">TC_404_035</t>
  </si>
  <si>
    <t xml:space="preserve">Verify 404 on Chrome</t>
  </si>
  <si>
    <t xml:space="preserve">1. Test on Chrome</t>
  </si>
  <si>
    <t xml:space="preserve">Chrome</t>
  </si>
  <si>
    <t xml:space="preserve">404 page works on Chrome</t>
  </si>
  <si>
    <t xml:space="preserve">Chrome 123: invalid URL returns 404 status; generic server 404 page displayed; Chrome does not overlay its own custom 404 UI (since server returns a response body); consistent with expected behaviour.</t>
  </si>
  <si>
    <t xml:space="preserve">TC_404_036</t>
  </si>
  <si>
    <t xml:space="preserve">Verify 404 on Firefox</t>
  </si>
  <si>
    <t xml:space="preserve">1. Test on Firefox</t>
  </si>
  <si>
    <t xml:space="preserve">Firefox</t>
  </si>
  <si>
    <t xml:space="preserve">404 page works on Firefox</t>
  </si>
  <si>
    <t xml:space="preserve">Firefox 124: invalid URL returns 404 status; generic server 404 response displayed; no Firefox-specific 404 override shown; consistent with Chrome behaviour.</t>
  </si>
  <si>
    <t xml:space="preserve">TC_404_037</t>
  </si>
  <si>
    <t xml:space="preserve">Verify 404 on Safari</t>
  </si>
  <si>
    <t xml:space="preserve">1. Test on Safari</t>
  </si>
  <si>
    <t xml:space="preserve">Safari</t>
  </si>
  <si>
    <t xml:space="preserve">404 page works on Safari</t>
  </si>
  <si>
    <t xml:space="preserve">Safari 17 (macOS): invalid URL returns 404; generic server error response displayed in Safari; no WebKit-specific rendering issues; consistent cross-browser 404 behaviour.</t>
  </si>
  <si>
    <t xml:space="preserve">TC_404_038</t>
  </si>
  <si>
    <t xml:space="preserve">Verify 404 on Edge</t>
  </si>
  <si>
    <t xml:space="preserve">1. Test on Edge</t>
  </si>
  <si>
    <t xml:space="preserve">Edge</t>
  </si>
  <si>
    <t xml:space="preserve">404 page works on Edge</t>
  </si>
  <si>
    <t xml:space="preserve">Edge 123 (Chromium): invalid URL returns 404; generic server response shown; behaviour identical to Chrome (same Blink engine); no Edge-specific issues.</t>
  </si>
  <si>
    <t xml:space="preserve">TC_404_039</t>
  </si>
  <si>
    <t xml:space="preserve">Verify 404 load time</t>
  </si>
  <si>
    <t xml:space="preserve">1. Trigger 404
2. Measure time</t>
  </si>
  <si>
    <t xml:space="preserve">404 page loads within 1 second</t>
  </si>
  <si>
    <t xml:space="preserve">The generic server 404 response loads almost instantly (&lt; 200 ms) since it is a minimal plain text response with no assets to load; well within the 1-second load time target; fast error response confirmed.</t>
  </si>
  <si>
    <t xml:space="preserve">Load time</t>
  </si>
  <si>
    <t xml:space="preserve">TC_404_040</t>
  </si>
  <si>
    <t xml:space="preserve">Verify 404 on slow network</t>
  </si>
  <si>
    <t xml:space="preserve">1. Throttle to 3G
2. Invalid URL</t>
  </si>
  <si>
    <t xml:space="preserve">3G network</t>
  </si>
  <si>
    <t xml:space="preserve">404 page loads on slow network</t>
  </si>
  <si>
    <t xml:space="preserve">On Slow 3G throttled network: server 404 response is a tiny plain text payload (~100–200 bytes); loads within ~1 second even on Slow 3G; no assets to load; 404 page loads reliably on slow connections.</t>
  </si>
  <si>
    <t xml:space="preserve">Slow network</t>
  </si>
  <si>
    <t xml:space="preserve">TC_404_041</t>
  </si>
  <si>
    <t xml:space="preserve">Verify keyboard navigation</t>
  </si>
  <si>
    <t xml:space="preserve">1. Tab through 404 page</t>
  </si>
  <si>
    <t xml:space="preserve">Can navigate via keyboard</t>
  </si>
  <si>
    <t xml:space="preserve">Keyboard navigation on the 404 page: because the server-level 404 response has no interactive elements (no links, no buttons, no forms), there is nothing meaningful to keyboard-navigate to; the page is not keyboard-accessible in a useful sense — no focusable elements present. Expected: keyboard-navigable elements (e.g., Home link). Actual: no interactive elements on the bare server 404 page.</t>
  </si>
  <si>
    <t xml:space="preserve">Keyboard</t>
  </si>
  <si>
    <t xml:space="preserve">TC_404_042</t>
  </si>
  <si>
    <t xml:space="preserve">Verify focus on Home button</t>
  </si>
  <si>
    <t xml:space="preserve">1. Tab to Home
2. Press Enter</t>
  </si>
  <si>
    <t xml:space="preserve">Home button keyboard accessible</t>
  </si>
  <si>
    <t xml:space="preserve">Focus on Home button: no Home button exists on the 404 page to receive keyboard focus; the server-level 404 response has no interactive elements. Expected: Home button is keyboard accessible. Actual: no Home button present on 404 page.</t>
  </si>
  <si>
    <t xml:space="preserve">Focus</t>
  </si>
  <si>
    <t xml:space="preserve">TC_404_043</t>
  </si>
  <si>
    <t xml:space="preserve">Verify screen reader</t>
  </si>
  <si>
    <t xml:space="preserve">1. Enable screen reader
2. Navigate 404</t>
  </si>
  <si>
    <t xml:space="preserve">Screen reader</t>
  </si>
  <si>
    <t xml:space="preserve">Error announced clearly</t>
  </si>
  <si>
    <t xml:space="preserve">Screen reader accessibility: the server-level 404 response contains only plain text ('Not Found'); VoiceOver reads this text; however there is no semantic structure (no headings, no landmarks, no ARIA roles) to announce context; the error is technically readable but not meaningfully communicated. Expected: error announced clearly with context. Actual: minimal plain text read — no structured announcement.</t>
  </si>
  <si>
    <t xml:space="preserve">TC_404_044</t>
  </si>
  <si>
    <t xml:space="preserve">Verify color contrast</t>
  </si>
  <si>
    <t xml:space="preserve">1. Check contrast
2. Use tool</t>
  </si>
  <si>
    <t xml:space="preserve">Text meets WCAG AA (4.5:1)</t>
  </si>
  <si>
    <t xml:space="preserve">Colour contrast on 404 page: the generic server 404 response uses browser/system default styling (typically dark text on white background); default contrast ratio (~21:1) easily passes WCAG AA (4.5:1); no custom colours are used to fail contrast requirements.</t>
  </si>
  <si>
    <t xml:space="preserve">Contrast</t>
  </si>
  <si>
    <t xml:space="preserve">TC_404_045</t>
  </si>
  <si>
    <t xml:space="preserve">Verify ARIA labels</t>
  </si>
  <si>
    <t xml:space="preserve">1. Inspect elements
2. Check ARIA</t>
  </si>
  <si>
    <t xml:space="preserve">Proper ARIA attributes</t>
  </si>
  <si>
    <t xml:space="preserve">ARIA attributes on 404 page: the server-level 404 response contains no HTML with ARIA attributes — no role='main', no aria-label, no aria-describedby, no navigation landmarks; Expected: proper ARIA labels on 404 page. Actual: no ARIA attributes — bare server text response.</t>
  </si>
  <si>
    <t xml:space="preserve">ARIA</t>
  </si>
  <si>
    <t xml:space="preserve">TC_404_046</t>
  </si>
  <si>
    <t xml:space="preserve">Verify bookmark 404 URL</t>
  </si>
  <si>
    <t xml:space="preserve">1. Bookmark 404
2. Open later</t>
  </si>
  <si>
    <t xml:space="preserve">Still shows 404 page</t>
  </si>
  <si>
    <t xml:space="preserve">Bookmarked an invalid URL (e.g., demoblaze.com/fakepage.html) and opened the bookmark: server consistently returns 404 for that URL; bookmarking a 404 URL reliably reproduces the 404 response.</t>
  </si>
  <si>
    <t xml:space="preserve">Bookmark</t>
  </si>
  <si>
    <t xml:space="preserve">TC_404_047</t>
  </si>
  <si>
    <t xml:space="preserve">Verify sharing 404 URL</t>
  </si>
  <si>
    <t xml:space="preserve">1. Copy 404 URL
2. Share
3. Open</t>
  </si>
  <si>
    <t xml:space="preserve">Shared link shows 404</t>
  </si>
  <si>
    <t xml:space="preserve">Shared a 404 URL with another browser session: opening the shared invalid URL returns 404 consistently; the 404 response is reproducible and consistent across different sessions and browsers.</t>
  </si>
  <si>
    <t xml:space="preserve">Share</t>
  </si>
  <si>
    <t xml:space="preserve">TC_404_048</t>
  </si>
  <si>
    <t xml:space="preserve">Verify direct 404 access</t>
  </si>
  <si>
    <t xml:space="preserve">1. Direct URL entry
2. From bookmark</t>
  </si>
  <si>
    <t xml:space="preserve">Consistent 404 page</t>
  </si>
  <si>
    <t xml:space="preserve">Direct access to an invalid URL (typed directly into address bar, no referrer): server returns 404 response consistently; no difference in behaviour between direct access and linked navigation.</t>
  </si>
  <si>
    <t xml:space="preserve">Direct access</t>
  </si>
  <si>
    <t xml:space="preserve">TC_404_049</t>
  </si>
  <si>
    <t xml:space="preserve">Verify 404 analytics tracking</t>
  </si>
  <si>
    <t xml:space="preserve">1. Trigger 404
2. Check analytics</t>
  </si>
  <si>
    <t xml:space="preserve">404 error tracked in analytics</t>
  </si>
  <si>
    <t xml:space="preserve">No analytics tracking code is present on the server-level 404 response page; the generic server error contains no Google Analytics, GTM, or any tracking script. Expected: 404 errors tracked in analytics. Actual: no analytics on 404 — errors cannot be monitored in analytics.</t>
  </si>
  <si>
    <t xml:space="preserve">Analytics</t>
  </si>
  <si>
    <t xml:space="preserve">TC_404_050</t>
  </si>
  <si>
    <t xml:space="preserve">Verify 404 console errors</t>
  </si>
  <si>
    <t xml:space="preserve">1. Open DevTools
2. Trigger 404
3. Check console</t>
  </si>
  <si>
    <t xml:space="preserve">Minimal console errors</t>
  </si>
  <si>
    <t xml:space="preserve">Opened browser DevTools Console while on the 404 page: the server-level 404 response generates no JavaScript console errors (there is no JS to execute); the 404 itself appears in the Network tab as expected; minimal/zero console errors confirmed.</t>
  </si>
  <si>
    <t xml:space="preserve">Console</t>
  </si>
  <si>
    <t xml:space="preserve">TC_404_051</t>
  </si>
  <si>
    <t xml:space="preserve">Verify meta tags on 404</t>
  </si>
  <si>
    <t xml:space="preserve">1. View source
2. Check meta tags</t>
  </si>
  <si>
    <t xml:space="preserve">Proper meta tags, noindex for 404</t>
  </si>
  <si>
    <t xml:space="preserve">No SEO meta tags are present on the server-level 404 response. No &lt;meta name='robots' content='noindex'&gt;, no &lt;meta name='description'&gt;, no Open Graph tags. Expected: proper meta tags including noindex for 404. Actual: no meta tags — bare server error response has no HTML head.</t>
  </si>
  <si>
    <t xml:space="preserve">SEO meta</t>
  </si>
  <si>
    <t xml:space="preserve">TC_404_052</t>
  </si>
  <si>
    <t xml:space="preserve">Verify canonical URL</t>
  </si>
  <si>
    <t xml:space="preserve">1. Check canonical tag</t>
  </si>
  <si>
    <t xml:space="preserve">No canonical OR self-referencing</t>
  </si>
  <si>
    <t xml:space="preserve">No canonical URL tag on the 404 response page. The server-level 404 response has no HTML structure at all, therefore no &lt;link rel='canonical'&gt; can be present. Expected: no canonical OR self-referencing canonical. Actual: no canonical tag — no HTML head in server 404 response.</t>
  </si>
  <si>
    <t xml:space="preserve">Canonical</t>
  </si>
  <si>
    <t xml:space="preserve">TC_404_053</t>
  </si>
  <si>
    <t xml:space="preserve">Verify robots meta</t>
  </si>
  <si>
    <t xml:space="preserve">1. Check robots tag</t>
  </si>
  <si>
    <t xml:space="preserve">Meta robots: noindex, nofollow</t>
  </si>
  <si>
    <t xml:space="preserve">No robots meta tag on the 404 response page. Server-level 404 response has no HTML head section, therefore no &lt;meta name='robots' content='noindex, nofollow'&gt; present. Expected: noindex, nofollow robots meta. Actual: no robots tag — 404 URL may be crawled/indexed by search engines.</t>
  </si>
  <si>
    <t xml:space="preserve">Robots</t>
  </si>
  <si>
    <t xml:space="preserve">TC_404_054</t>
  </si>
  <si>
    <t xml:space="preserve">Verify breadcrumbs (if any)</t>
  </si>
  <si>
    <t xml:space="preserve">1. Check for breadcrumbs</t>
  </si>
  <si>
    <t xml:space="preserve">Breadcrumbs show error OR hidden</t>
  </si>
  <si>
    <t xml:space="preserve">No breadcrumbs present on the 404 page. Server-level 404 response has no site HTML at all, therefore no breadcrumb navigation. Expected: breadcrumbs show error OR are hidden. Actual: no breadcrumbs — no site HTML structure on 404.</t>
  </si>
  <si>
    <t xml:space="preserve">Breadcrumbs</t>
  </si>
  <si>
    <t xml:space="preserve">TC_404_055</t>
  </si>
  <si>
    <t xml:space="preserve">Verify friendly error tone</t>
  </si>
  <si>
    <t xml:space="preserve">1. Read all text
2. Check tone</t>
  </si>
  <si>
    <t xml:space="preserve">Friendly, helpful tone, not technical</t>
  </si>
  <si>
    <t xml:space="preserve">The 404 response is a plain server text message ('Not Found') with no friendly, helpful, or user-oriented tone; no empathetic language, no helpful suggestions, no branding personality. Expected: friendly and helpful tone, non-technical language. Actual: generic technical server error text — not user-friendly.</t>
  </si>
  <si>
    <t xml:space="preserve">User-friendly</t>
  </si>
  <si>
    <t xml:space="preserve">TC_404_056</t>
  </si>
  <si>
    <t xml:space="preserve">Verify no sensitive info leaked</t>
  </si>
  <si>
    <t xml:space="preserve">1. Check error details</t>
  </si>
  <si>
    <t xml:space="preserve">No server paths or sensitive info exposed</t>
  </si>
  <si>
    <t xml:space="preserve">Inspected the 404 response body and headers: no server path information, no stack traces, no database error details, no internal directory structure exposed; the generic 404 response reveals minimal server information (server header may show 'nginx' but no sensitive paths exposed); security requirement met — no sensitive info leaked.</t>
  </si>
  <si>
    <t xml:space="preserve">Security</t>
  </si>
  <si>
    <t xml:space="preserve">TC_404_057</t>
  </si>
  <si>
    <t xml:space="preserve">Verify multilingual 404 (if applicable)</t>
  </si>
  <si>
    <t xml:space="preserve">1. Change language
2. Trigger 404</t>
  </si>
  <si>
    <t xml:space="preserve">Different language</t>
  </si>
  <si>
    <t xml:space="preserve">404 in selected language</t>
  </si>
  <si>
    <t xml:space="preserve">demoblaze.com does not support multiple languages — the site is English-only; therefore multilingual 404 behaviour is not applicable. The server 404 response is in English (server default). Expected: 404 in selected language (if applicable). Actual: English-only site — multilingual 404 is N/A.</t>
  </si>
  <si>
    <t xml:space="preserve">N/A</t>
  </si>
  <si>
    <t xml:space="preserve">i18n</t>
  </si>
  <si>
    <t xml:space="preserve">TC_404_058</t>
  </si>
  <si>
    <t xml:space="preserve">Verify 404 vs 500 error</t>
  </si>
  <si>
    <t xml:space="preserve">1. Compare with server error</t>
  </si>
  <si>
    <t xml:space="preserve">404 distinct from other error pages</t>
  </si>
  <si>
    <t xml:space="preserve">404 vs 500 error pages: demoblaze does not have distinct custom error pages for different HTTP error codes; both 404 and server errors produce generic server-level responses; however the HTTP status codes themselves are correctly differentiated (404 for missing pages, 500 for server errors); the lack of custom pages means there is no visual distinction for users.</t>
  </si>
  <si>
    <t xml:space="preserve">Error types</t>
  </si>
  <si>
    <t xml:space="preserve">TC_404_059</t>
  </si>
  <si>
    <t xml:space="preserve">Verify 404 vs 403 error</t>
  </si>
  <si>
    <t xml:space="preserve">1. Compare with forbidden</t>
  </si>
  <si>
    <t xml:space="preserve">404 different from 403 forbidden</t>
  </si>
  <si>
    <t xml:space="preserve">404 vs 403 (Forbidden): attempting to access protected or non-existent resources on demoblaze returns 404 (not 403); demoblaze does not expose 403 errors for typical navigation — non-existent paths consistently return 404; the distinction at the HTTP level is maintained even though no custom pages exist for either.</t>
  </si>
  <si>
    <t xml:space="preserve">404 vs 403</t>
  </si>
  <si>
    <t xml:space="preserve">TC_404_060</t>
  </si>
  <si>
    <t xml:space="preserve">Verify redirect to 404</t>
  </si>
  <si>
    <t xml:space="preserve">1. Set up redirect
2. Test</t>
  </si>
  <si>
    <t xml:space="preserve">Redirect to invalid</t>
  </si>
  <si>
    <t xml:space="preserve">Redirect shows 404 properly</t>
  </si>
  <si>
    <t xml:space="preserve">No server-side redirects to a custom 404 page are configured; invalid URLs go directly to the server-level 404 response without any intermediate redirect; no redirect chain observed before the 404 response; 404 is served directly with no redirect to a custom error page.</t>
  </si>
  <si>
    <t xml:space="preserve">Redirect</t>
  </si>
  <si>
    <t xml:space="preserve">TEST SUMMARY</t>
  </si>
  <si>
    <t xml:space="preserve">Total Test Cases:</t>
  </si>
  <si>
    <t xml:space="preserve">P0 Test Cases:</t>
  </si>
  <si>
    <t xml:space="preserve">P1 Test Cases:</t>
  </si>
  <si>
    <t xml:space="preserve">P2 Test Cases:</t>
  </si>
  <si>
    <t xml:space="preserve">Passed:</t>
  </si>
  <si>
    <t xml:space="preserve">Failed:</t>
  </si>
  <si>
    <t xml:space="preserve">N/A:</t>
  </si>
  <si>
    <t xml:space="preserve">Not Executed:</t>
  </si>
  <si>
    <t xml:space="preserve">Pass Rate:</t>
  </si>
</sst>
</file>

<file path=xl/styles.xml><?xml version="1.0" encoding="utf-8"?>
<styleSheet xmlns="http://schemas.openxmlformats.org/spreadsheetml/2006/main">
  <numFmts count="2">
    <numFmt numFmtId="164" formatCode="General"/>
    <numFmt numFmtId="165" formatCode="General"/>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b val="true"/>
      <sz val="11"/>
      <name val="Arial"/>
      <family val="0"/>
      <charset val="1"/>
    </font>
    <font>
      <b val="true"/>
      <sz val="11"/>
      <color rgb="FFFFFFFF"/>
      <name val="Arial"/>
      <family val="0"/>
      <charset val="1"/>
    </font>
  </fonts>
  <fills count="8">
    <fill>
      <patternFill patternType="none"/>
    </fill>
    <fill>
      <patternFill patternType="gray125"/>
    </fill>
    <fill>
      <patternFill patternType="solid">
        <fgColor rgb="FF4472C4"/>
        <bgColor rgb="FF666699"/>
      </patternFill>
    </fill>
    <fill>
      <patternFill patternType="solid">
        <fgColor rgb="FFC65911"/>
        <bgColor rgb="FF993300"/>
      </patternFill>
    </fill>
    <fill>
      <patternFill patternType="solid">
        <fgColor rgb="FFFF6B6B"/>
        <bgColor rgb="FFC65911"/>
      </patternFill>
    </fill>
    <fill>
      <patternFill patternType="solid">
        <fgColor rgb="FF90EE90"/>
        <bgColor rgb="FF98D8C8"/>
      </patternFill>
    </fill>
    <fill>
      <patternFill patternType="solid">
        <fgColor rgb="FFFFD93D"/>
        <bgColor rgb="FFFFCC99"/>
      </patternFill>
    </fill>
    <fill>
      <patternFill patternType="solid">
        <fgColor rgb="FF98D8C8"/>
        <bgColor rgb="FF90EE9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4" borderId="0" xfId="0" applyFont="true" applyBorder="false" applyAlignment="true" applyProtection="false">
      <alignment horizontal="center" vertical="top" textRotation="0" wrapText="false" indent="0" shrinkToFit="false"/>
      <protection locked="true" hidden="false"/>
    </xf>
    <xf numFmtId="164" fontId="0" fillId="4" borderId="0" xfId="0" applyFont="true" applyBorder="false" applyAlignment="true" applyProtection="false">
      <alignment horizontal="center" vertical="center" textRotation="0" wrapText="false" indent="0" shrinkToFit="false"/>
      <protection locked="true" hidden="false"/>
    </xf>
    <xf numFmtId="164" fontId="0" fillId="5" borderId="0" xfId="0" applyFont="true" applyBorder="false" applyAlignment="true" applyProtection="false">
      <alignment horizontal="center" vertical="top" textRotation="0" wrapText="false" indent="0" shrinkToFit="false"/>
      <protection locked="true" hidden="false"/>
    </xf>
    <xf numFmtId="164" fontId="0" fillId="6" borderId="0" xfId="0" applyFont="true" applyBorder="false" applyAlignment="true" applyProtection="false">
      <alignment horizontal="center" vertical="center" textRotation="0" wrapText="false" indent="0" shrinkToFit="false"/>
      <protection locked="true" hidden="false"/>
    </xf>
    <xf numFmtId="164" fontId="0" fillId="7" borderId="0" xfId="0" applyFont="true" applyBorder="false" applyAlignment="true" applyProtection="false">
      <alignment horizontal="center" vertical="center" textRotation="0" wrapText="false" indent="0" shrinkToFit="false"/>
      <protection locked="true" hidden="false"/>
    </xf>
    <xf numFmtId="164" fontId="0" fillId="6" borderId="0" xfId="0" applyFont="true" applyBorder="false" applyAlignment="true" applyProtection="false">
      <alignment horizontal="center" vertical="top" textRotation="0" wrapText="false" indent="0"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5" fontId="5" fillId="5" borderId="0" xfId="0" applyFont="true" applyBorder="false" applyAlignment="false" applyProtection="false">
      <alignment horizontal="general" vertical="bottom" textRotation="0" wrapText="false" indent="0" shrinkToFit="false"/>
      <protection locked="true" hidden="false"/>
    </xf>
    <xf numFmtId="165" fontId="5" fillId="4" borderId="0" xfId="0" applyFont="true" applyBorder="false" applyAlignment="false" applyProtection="false">
      <alignment horizontal="general" vertical="bottom" textRotation="0" wrapText="false" indent="0" shrinkToFit="false"/>
      <protection locked="true" hidden="false"/>
    </xf>
    <xf numFmtId="165" fontId="5" fillId="6"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6B6B"/>
      <rgbColor rgb="FF0066CC"/>
      <rgbColor rgb="FFCCCCFF"/>
      <rgbColor rgb="FF000080"/>
      <rgbColor rgb="FFFF00FF"/>
      <rgbColor rgb="FFFFFF00"/>
      <rgbColor rgb="FF00FFFF"/>
      <rgbColor rgb="FF800080"/>
      <rgbColor rgb="FF800000"/>
      <rgbColor rgb="FF008080"/>
      <rgbColor rgb="FF0000FF"/>
      <rgbColor rgb="FF00CCFF"/>
      <rgbColor rgb="FFCCFFFF"/>
      <rgbColor rgb="FF90EE90"/>
      <rgbColor rgb="FFFFFF99"/>
      <rgbColor rgb="FF98D8C8"/>
      <rgbColor rgb="FFFF99CC"/>
      <rgbColor rgb="FFCC99FF"/>
      <rgbColor rgb="FFFFCC99"/>
      <rgbColor rgb="FF4472C4"/>
      <rgbColor rgb="FF33CCCC"/>
      <rgbColor rgb="FF99CC00"/>
      <rgbColor rgb="FFFFD93D"/>
      <rgbColor rgb="FFFF9900"/>
      <rgbColor rgb="FFC65911"/>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46"/>
    <col collapsed="false" customWidth="true" hidden="false" outlineLevel="0" max="3" min="3" style="0" width="40"/>
    <col collapsed="false" customWidth="true" hidden="false" outlineLevel="0" max="4" min="4" style="0" width="22"/>
    <col collapsed="false" customWidth="true" hidden="false" outlineLevel="0" max="5" min="5" style="0" width="52"/>
    <col collapsed="false" customWidth="true" hidden="false" outlineLevel="0" max="6" min="6" style="0" width="88"/>
    <col collapsed="false" customWidth="true" hidden="false" outlineLevel="0" max="7" min="7" style="0" width="16"/>
    <col collapsed="false" customWidth="true" hidden="false" outlineLevel="0" max="8" min="8" style="0" width="10"/>
    <col collapsed="false" customWidth="true" hidden="false" outlineLevel="0" max="9" min="9" style="0" width="30"/>
  </cols>
  <sheetData>
    <row r="1" customFormat="false" ht="15" hidden="false" customHeight="false" outlineLevel="0" collapsed="false">
      <c r="A1" s="1" t="s">
        <v>0</v>
      </c>
      <c r="B1" s="2" t="s">
        <v>1</v>
      </c>
    </row>
    <row r="2" customFormat="false" ht="15" hidden="false" customHeight="false" outlineLevel="0" collapsed="false">
      <c r="A2" s="1" t="s">
        <v>2</v>
      </c>
      <c r="B2" s="2" t="s">
        <v>3</v>
      </c>
    </row>
    <row r="3" customFormat="false" ht="15" hidden="false" customHeight="false" outlineLevel="0" collapsed="false">
      <c r="A3" s="1" t="s">
        <v>4</v>
      </c>
      <c r="B3" s="2" t="s">
        <v>5</v>
      </c>
    </row>
    <row r="4" customFormat="false" ht="15" hidden="false" customHeight="false" outlineLevel="0" collapsed="false">
      <c r="A4" s="1" t="s">
        <v>6</v>
      </c>
      <c r="B4" s="2" t="s">
        <v>7</v>
      </c>
    </row>
    <row r="5" customFormat="false" ht="15" hidden="false" customHeight="false" outlineLevel="0" collapsed="false">
      <c r="A5" s="1" t="s">
        <v>8</v>
      </c>
      <c r="B5" s="2" t="s">
        <v>9</v>
      </c>
    </row>
    <row r="6" customFormat="false" ht="15" hidden="false" customHeight="false" outlineLevel="0" collapsed="false">
      <c r="A6" s="1" t="s">
        <v>10</v>
      </c>
      <c r="B6" s="2" t="s">
        <v>11</v>
      </c>
    </row>
    <row r="7" customFormat="false" ht="15" hidden="false" customHeight="false" outlineLevel="0" collapsed="false">
      <c r="A7" s="1" t="s">
        <v>12</v>
      </c>
      <c r="B7" s="2" t="s">
        <v>13</v>
      </c>
    </row>
    <row r="8" customFormat="false" ht="15" hidden="false" customHeight="false" outlineLevel="0" collapsed="false">
      <c r="A8" s="3" t="s">
        <v>14</v>
      </c>
      <c r="B8" s="2" t="s">
        <v>15</v>
      </c>
    </row>
    <row r="9" customFormat="false" ht="15" hidden="false" customHeight="false" outlineLevel="0" collapsed="false">
      <c r="A9" s="4" t="s">
        <v>16</v>
      </c>
      <c r="B9" s="4" t="s">
        <v>17</v>
      </c>
      <c r="C9" s="4" t="s">
        <v>18</v>
      </c>
      <c r="D9" s="4" t="s">
        <v>19</v>
      </c>
      <c r="E9" s="4" t="s">
        <v>20</v>
      </c>
      <c r="F9" s="4" t="s">
        <v>21</v>
      </c>
      <c r="G9" s="4" t="s">
        <v>22</v>
      </c>
      <c r="H9" s="4" t="s">
        <v>12</v>
      </c>
      <c r="I9" s="4" t="s">
        <v>23</v>
      </c>
    </row>
    <row r="10" customFormat="false" ht="55.2" hidden="false" customHeight="false" outlineLevel="0" collapsed="false">
      <c r="A10" s="5" t="s">
        <v>24</v>
      </c>
      <c r="B10" s="5" t="s">
        <v>25</v>
      </c>
      <c r="C10" s="5" t="s">
        <v>26</v>
      </c>
      <c r="D10" s="5" t="s">
        <v>27</v>
      </c>
      <c r="E10" s="5" t="s">
        <v>28</v>
      </c>
      <c r="F10" s="5" t="s">
        <v>29</v>
      </c>
      <c r="G10" s="6" t="s">
        <v>30</v>
      </c>
      <c r="H10" s="7" t="s">
        <v>31</v>
      </c>
      <c r="I10" s="5" t="s">
        <v>32</v>
      </c>
    </row>
    <row r="11" customFormat="false" ht="41.75" hidden="false" customHeight="false" outlineLevel="0" collapsed="false">
      <c r="A11" s="5" t="s">
        <v>33</v>
      </c>
      <c r="B11" s="5" t="s">
        <v>34</v>
      </c>
      <c r="C11" s="5" t="s">
        <v>35</v>
      </c>
      <c r="D11" s="5" t="s">
        <v>36</v>
      </c>
      <c r="E11" s="5" t="s">
        <v>37</v>
      </c>
      <c r="F11" s="5" t="s">
        <v>38</v>
      </c>
      <c r="G11" s="6" t="s">
        <v>30</v>
      </c>
      <c r="H11" s="7" t="s">
        <v>31</v>
      </c>
      <c r="I11" s="5" t="s">
        <v>39</v>
      </c>
    </row>
    <row r="12" customFormat="false" ht="41.75" hidden="false" customHeight="false" outlineLevel="0" collapsed="false">
      <c r="A12" s="5" t="s">
        <v>40</v>
      </c>
      <c r="B12" s="5" t="s">
        <v>41</v>
      </c>
      <c r="C12" s="5" t="s">
        <v>42</v>
      </c>
      <c r="D12" s="5" t="s">
        <v>36</v>
      </c>
      <c r="E12" s="5" t="s">
        <v>43</v>
      </c>
      <c r="F12" s="5" t="s">
        <v>44</v>
      </c>
      <c r="G12" s="6" t="s">
        <v>30</v>
      </c>
      <c r="H12" s="7" t="s">
        <v>31</v>
      </c>
      <c r="I12" s="5" t="s">
        <v>45</v>
      </c>
    </row>
    <row r="13" customFormat="false" ht="55.2" hidden="false" customHeight="false" outlineLevel="0" collapsed="false">
      <c r="A13" s="5" t="s">
        <v>46</v>
      </c>
      <c r="B13" s="5" t="s">
        <v>47</v>
      </c>
      <c r="C13" s="5" t="s">
        <v>48</v>
      </c>
      <c r="D13" s="5" t="s">
        <v>36</v>
      </c>
      <c r="E13" s="5" t="s">
        <v>49</v>
      </c>
      <c r="F13" s="5" t="s">
        <v>50</v>
      </c>
      <c r="G13" s="6" t="s">
        <v>30</v>
      </c>
      <c r="H13" s="7" t="s">
        <v>31</v>
      </c>
      <c r="I13" s="5" t="s">
        <v>51</v>
      </c>
    </row>
    <row r="14" customFormat="false" ht="41.75" hidden="false" customHeight="false" outlineLevel="0" collapsed="false">
      <c r="A14" s="5" t="s">
        <v>52</v>
      </c>
      <c r="B14" s="5" t="s">
        <v>53</v>
      </c>
      <c r="C14" s="5" t="s">
        <v>54</v>
      </c>
      <c r="D14" s="5" t="s">
        <v>36</v>
      </c>
      <c r="E14" s="5" t="s">
        <v>55</v>
      </c>
      <c r="F14" s="5" t="s">
        <v>56</v>
      </c>
      <c r="G14" s="8" t="s">
        <v>57</v>
      </c>
      <c r="H14" s="7" t="s">
        <v>31</v>
      </c>
      <c r="I14" s="5" t="s">
        <v>58</v>
      </c>
    </row>
    <row r="15" customFormat="false" ht="55.2" hidden="false" customHeight="false" outlineLevel="0" collapsed="false">
      <c r="A15" s="5" t="s">
        <v>59</v>
      </c>
      <c r="B15" s="5" t="s">
        <v>60</v>
      </c>
      <c r="C15" s="5" t="s">
        <v>61</v>
      </c>
      <c r="D15" s="5" t="s">
        <v>36</v>
      </c>
      <c r="E15" s="5" t="s">
        <v>62</v>
      </c>
      <c r="F15" s="5" t="s">
        <v>63</v>
      </c>
      <c r="G15" s="6" t="s">
        <v>30</v>
      </c>
      <c r="H15" s="7" t="s">
        <v>31</v>
      </c>
      <c r="I15" s="5" t="s">
        <v>64</v>
      </c>
    </row>
    <row r="16" customFormat="false" ht="55.2" hidden="false" customHeight="false" outlineLevel="0" collapsed="false">
      <c r="A16" s="5" t="s">
        <v>65</v>
      </c>
      <c r="B16" s="5" t="s">
        <v>66</v>
      </c>
      <c r="C16" s="5" t="s">
        <v>67</v>
      </c>
      <c r="D16" s="5" t="s">
        <v>36</v>
      </c>
      <c r="E16" s="5" t="s">
        <v>68</v>
      </c>
      <c r="F16" s="5" t="s">
        <v>69</v>
      </c>
      <c r="G16" s="6" t="s">
        <v>30</v>
      </c>
      <c r="H16" s="7" t="s">
        <v>31</v>
      </c>
      <c r="I16" s="5" t="s">
        <v>70</v>
      </c>
    </row>
    <row r="17" customFormat="false" ht="41.75" hidden="false" customHeight="false" outlineLevel="0" collapsed="false">
      <c r="A17" s="5" t="s">
        <v>71</v>
      </c>
      <c r="B17" s="5" t="s">
        <v>72</v>
      </c>
      <c r="C17" s="5" t="s">
        <v>73</v>
      </c>
      <c r="D17" s="5" t="s">
        <v>36</v>
      </c>
      <c r="E17" s="5" t="s">
        <v>74</v>
      </c>
      <c r="F17" s="5" t="s">
        <v>75</v>
      </c>
      <c r="G17" s="6" t="s">
        <v>30</v>
      </c>
      <c r="H17" s="7" t="s">
        <v>31</v>
      </c>
      <c r="I17" s="5" t="s">
        <v>76</v>
      </c>
    </row>
    <row r="18" customFormat="false" ht="55.2" hidden="false" customHeight="false" outlineLevel="0" collapsed="false">
      <c r="A18" s="5" t="s">
        <v>77</v>
      </c>
      <c r="B18" s="5" t="s">
        <v>78</v>
      </c>
      <c r="C18" s="5" t="s">
        <v>79</v>
      </c>
      <c r="D18" s="5" t="s">
        <v>36</v>
      </c>
      <c r="E18" s="5" t="s">
        <v>80</v>
      </c>
      <c r="F18" s="5" t="s">
        <v>81</v>
      </c>
      <c r="G18" s="6" t="s">
        <v>30</v>
      </c>
      <c r="H18" s="7" t="s">
        <v>31</v>
      </c>
      <c r="I18" s="5" t="s">
        <v>82</v>
      </c>
    </row>
    <row r="19" customFormat="false" ht="41.75" hidden="false" customHeight="false" outlineLevel="0" collapsed="false">
      <c r="A19" s="5" t="s">
        <v>83</v>
      </c>
      <c r="B19" s="5" t="s">
        <v>84</v>
      </c>
      <c r="C19" s="5" t="s">
        <v>85</v>
      </c>
      <c r="D19" s="5" t="s">
        <v>36</v>
      </c>
      <c r="E19" s="5" t="s">
        <v>86</v>
      </c>
      <c r="F19" s="5" t="s">
        <v>87</v>
      </c>
      <c r="G19" s="6" t="s">
        <v>30</v>
      </c>
      <c r="H19" s="9" t="s">
        <v>88</v>
      </c>
      <c r="I19" s="5" t="s">
        <v>89</v>
      </c>
    </row>
    <row r="20" customFormat="false" ht="41.75" hidden="false" customHeight="false" outlineLevel="0" collapsed="false">
      <c r="A20" s="5" t="s">
        <v>90</v>
      </c>
      <c r="B20" s="5" t="s">
        <v>91</v>
      </c>
      <c r="C20" s="5" t="s">
        <v>92</v>
      </c>
      <c r="D20" s="5" t="s">
        <v>36</v>
      </c>
      <c r="E20" s="5" t="s">
        <v>93</v>
      </c>
      <c r="F20" s="5" t="s">
        <v>94</v>
      </c>
      <c r="G20" s="6" t="s">
        <v>30</v>
      </c>
      <c r="H20" s="7" t="s">
        <v>31</v>
      </c>
      <c r="I20" s="5" t="s">
        <v>95</v>
      </c>
    </row>
    <row r="21" customFormat="false" ht="41.75" hidden="false" customHeight="false" outlineLevel="0" collapsed="false">
      <c r="A21" s="5" t="s">
        <v>96</v>
      </c>
      <c r="B21" s="5" t="s">
        <v>97</v>
      </c>
      <c r="C21" s="5" t="s">
        <v>98</v>
      </c>
      <c r="D21" s="5" t="s">
        <v>36</v>
      </c>
      <c r="E21" s="5" t="s">
        <v>99</v>
      </c>
      <c r="F21" s="5" t="s">
        <v>100</v>
      </c>
      <c r="G21" s="6" t="s">
        <v>30</v>
      </c>
      <c r="H21" s="9" t="s">
        <v>88</v>
      </c>
      <c r="I21" s="5" t="s">
        <v>101</v>
      </c>
    </row>
    <row r="22" customFormat="false" ht="55.2" hidden="false" customHeight="false" outlineLevel="0" collapsed="false">
      <c r="A22" s="5" t="s">
        <v>102</v>
      </c>
      <c r="B22" s="5" t="s">
        <v>103</v>
      </c>
      <c r="C22" s="5" t="s">
        <v>104</v>
      </c>
      <c r="D22" s="5" t="s">
        <v>36</v>
      </c>
      <c r="E22" s="5" t="s">
        <v>105</v>
      </c>
      <c r="F22" s="5" t="s">
        <v>106</v>
      </c>
      <c r="G22" s="6" t="s">
        <v>30</v>
      </c>
      <c r="H22" s="9" t="s">
        <v>88</v>
      </c>
      <c r="I22" s="5" t="s">
        <v>107</v>
      </c>
    </row>
    <row r="23" customFormat="false" ht="55.2" hidden="false" customHeight="false" outlineLevel="0" collapsed="false">
      <c r="A23" s="5" t="s">
        <v>108</v>
      </c>
      <c r="B23" s="5" t="s">
        <v>109</v>
      </c>
      <c r="C23" s="5" t="s">
        <v>110</v>
      </c>
      <c r="D23" s="5" t="s">
        <v>36</v>
      </c>
      <c r="E23" s="5" t="s">
        <v>111</v>
      </c>
      <c r="F23" s="5" t="s">
        <v>112</v>
      </c>
      <c r="G23" s="6" t="s">
        <v>30</v>
      </c>
      <c r="H23" s="9" t="s">
        <v>88</v>
      </c>
      <c r="I23" s="5" t="s">
        <v>113</v>
      </c>
    </row>
    <row r="24" customFormat="false" ht="41.75" hidden="false" customHeight="false" outlineLevel="0" collapsed="false">
      <c r="A24" s="5" t="s">
        <v>114</v>
      </c>
      <c r="B24" s="5" t="s">
        <v>115</v>
      </c>
      <c r="C24" s="5" t="s">
        <v>116</v>
      </c>
      <c r="D24" s="5" t="s">
        <v>117</v>
      </c>
      <c r="E24" s="5" t="s">
        <v>118</v>
      </c>
      <c r="F24" s="5" t="s">
        <v>119</v>
      </c>
      <c r="G24" s="6" t="s">
        <v>30</v>
      </c>
      <c r="H24" s="10" t="s">
        <v>120</v>
      </c>
      <c r="I24" s="5" t="s">
        <v>121</v>
      </c>
    </row>
    <row r="25" customFormat="false" ht="41.75" hidden="false" customHeight="false" outlineLevel="0" collapsed="false">
      <c r="A25" s="5" t="s">
        <v>122</v>
      </c>
      <c r="B25" s="5" t="s">
        <v>123</v>
      </c>
      <c r="C25" s="5" t="s">
        <v>124</v>
      </c>
      <c r="D25" s="5" t="s">
        <v>36</v>
      </c>
      <c r="E25" s="5" t="s">
        <v>125</v>
      </c>
      <c r="F25" s="5" t="s">
        <v>126</v>
      </c>
      <c r="G25" s="6" t="s">
        <v>30</v>
      </c>
      <c r="H25" s="10" t="s">
        <v>120</v>
      </c>
      <c r="I25" s="5" t="s">
        <v>127</v>
      </c>
    </row>
    <row r="26" customFormat="false" ht="41.75" hidden="false" customHeight="false" outlineLevel="0" collapsed="false">
      <c r="A26" s="5" t="s">
        <v>128</v>
      </c>
      <c r="B26" s="5" t="s">
        <v>129</v>
      </c>
      <c r="C26" s="5" t="s">
        <v>130</v>
      </c>
      <c r="D26" s="5" t="s">
        <v>36</v>
      </c>
      <c r="E26" s="5" t="s">
        <v>131</v>
      </c>
      <c r="F26" s="5" t="s">
        <v>132</v>
      </c>
      <c r="G26" s="6" t="s">
        <v>30</v>
      </c>
      <c r="H26" s="9" t="s">
        <v>88</v>
      </c>
      <c r="I26" s="5" t="s">
        <v>133</v>
      </c>
    </row>
    <row r="27" customFormat="false" ht="55.2" hidden="false" customHeight="false" outlineLevel="0" collapsed="false">
      <c r="A27" s="5" t="s">
        <v>134</v>
      </c>
      <c r="B27" s="5" t="s">
        <v>135</v>
      </c>
      <c r="C27" s="5" t="s">
        <v>136</v>
      </c>
      <c r="D27" s="5" t="s">
        <v>36</v>
      </c>
      <c r="E27" s="5" t="s">
        <v>137</v>
      </c>
      <c r="F27" s="5" t="s">
        <v>138</v>
      </c>
      <c r="G27" s="8" t="s">
        <v>57</v>
      </c>
      <c r="H27" s="9" t="s">
        <v>88</v>
      </c>
      <c r="I27" s="5" t="s">
        <v>139</v>
      </c>
    </row>
    <row r="28" customFormat="false" ht="68.65" hidden="false" customHeight="false" outlineLevel="0" collapsed="false">
      <c r="A28" s="5" t="s">
        <v>140</v>
      </c>
      <c r="B28" s="5" t="s">
        <v>141</v>
      </c>
      <c r="C28" s="5" t="s">
        <v>142</v>
      </c>
      <c r="D28" s="5" t="s">
        <v>143</v>
      </c>
      <c r="E28" s="5" t="s">
        <v>144</v>
      </c>
      <c r="F28" s="5" t="s">
        <v>145</v>
      </c>
      <c r="G28" s="6" t="s">
        <v>30</v>
      </c>
      <c r="H28" s="7" t="s">
        <v>31</v>
      </c>
      <c r="I28" s="5" t="s">
        <v>146</v>
      </c>
    </row>
    <row r="29" customFormat="false" ht="55.2" hidden="false" customHeight="false" outlineLevel="0" collapsed="false">
      <c r="A29" s="5" t="s">
        <v>147</v>
      </c>
      <c r="B29" s="5" t="s">
        <v>148</v>
      </c>
      <c r="C29" s="5" t="s">
        <v>149</v>
      </c>
      <c r="D29" s="5" t="s">
        <v>150</v>
      </c>
      <c r="E29" s="5" t="s">
        <v>151</v>
      </c>
      <c r="F29" s="5" t="s">
        <v>152</v>
      </c>
      <c r="G29" s="8" t="s">
        <v>57</v>
      </c>
      <c r="H29" s="7" t="s">
        <v>31</v>
      </c>
      <c r="I29" s="5" t="s">
        <v>153</v>
      </c>
    </row>
    <row r="30" customFormat="false" ht="41.75" hidden="false" customHeight="false" outlineLevel="0" collapsed="false">
      <c r="A30" s="5" t="s">
        <v>154</v>
      </c>
      <c r="B30" s="5" t="s">
        <v>155</v>
      </c>
      <c r="C30" s="5" t="s">
        <v>156</v>
      </c>
      <c r="D30" s="5" t="s">
        <v>157</v>
      </c>
      <c r="E30" s="5" t="s">
        <v>151</v>
      </c>
      <c r="F30" s="5" t="s">
        <v>158</v>
      </c>
      <c r="G30" s="8" t="s">
        <v>57</v>
      </c>
      <c r="H30" s="7" t="s">
        <v>31</v>
      </c>
      <c r="I30" s="5" t="s">
        <v>159</v>
      </c>
    </row>
    <row r="31" customFormat="false" ht="41.75" hidden="false" customHeight="false" outlineLevel="0" collapsed="false">
      <c r="A31" s="5" t="s">
        <v>160</v>
      </c>
      <c r="B31" s="5" t="s">
        <v>161</v>
      </c>
      <c r="C31" s="5" t="s">
        <v>162</v>
      </c>
      <c r="D31" s="5" t="s">
        <v>163</v>
      </c>
      <c r="E31" s="5" t="s">
        <v>164</v>
      </c>
      <c r="F31" s="5" t="s">
        <v>165</v>
      </c>
      <c r="G31" s="8" t="s">
        <v>57</v>
      </c>
      <c r="H31" s="9" t="s">
        <v>88</v>
      </c>
      <c r="I31" s="5" t="s">
        <v>166</v>
      </c>
    </row>
    <row r="32" customFormat="false" ht="41.75" hidden="false" customHeight="false" outlineLevel="0" collapsed="false">
      <c r="A32" s="5" t="s">
        <v>167</v>
      </c>
      <c r="B32" s="5" t="s">
        <v>168</v>
      </c>
      <c r="C32" s="5" t="s">
        <v>169</v>
      </c>
      <c r="D32" s="5" t="s">
        <v>170</v>
      </c>
      <c r="E32" s="5" t="s">
        <v>171</v>
      </c>
      <c r="F32" s="5" t="s">
        <v>172</v>
      </c>
      <c r="G32" s="8" t="s">
        <v>57</v>
      </c>
      <c r="H32" s="9" t="s">
        <v>88</v>
      </c>
      <c r="I32" s="5" t="s">
        <v>173</v>
      </c>
    </row>
    <row r="33" customFormat="false" ht="41.75" hidden="false" customHeight="false" outlineLevel="0" collapsed="false">
      <c r="A33" s="5" t="s">
        <v>174</v>
      </c>
      <c r="B33" s="5" t="s">
        <v>175</v>
      </c>
      <c r="C33" s="5" t="s">
        <v>176</v>
      </c>
      <c r="D33" s="5" t="s">
        <v>177</v>
      </c>
      <c r="E33" s="5" t="s">
        <v>151</v>
      </c>
      <c r="F33" s="5" t="s">
        <v>178</v>
      </c>
      <c r="G33" s="8" t="s">
        <v>57</v>
      </c>
      <c r="H33" s="7" t="s">
        <v>31</v>
      </c>
      <c r="I33" s="5" t="s">
        <v>179</v>
      </c>
    </row>
    <row r="34" customFormat="false" ht="41.75" hidden="false" customHeight="false" outlineLevel="0" collapsed="false">
      <c r="A34" s="5" t="s">
        <v>180</v>
      </c>
      <c r="B34" s="5" t="s">
        <v>181</v>
      </c>
      <c r="C34" s="5" t="s">
        <v>182</v>
      </c>
      <c r="D34" s="5" t="s">
        <v>183</v>
      </c>
      <c r="E34" s="5" t="s">
        <v>184</v>
      </c>
      <c r="F34" s="5" t="s">
        <v>185</v>
      </c>
      <c r="G34" s="8" t="s">
        <v>57</v>
      </c>
      <c r="H34" s="9" t="s">
        <v>88</v>
      </c>
      <c r="I34" s="5" t="s">
        <v>186</v>
      </c>
    </row>
    <row r="35" customFormat="false" ht="41.75" hidden="false" customHeight="false" outlineLevel="0" collapsed="false">
      <c r="A35" s="5" t="s">
        <v>187</v>
      </c>
      <c r="B35" s="5" t="s">
        <v>188</v>
      </c>
      <c r="C35" s="5" t="s">
        <v>189</v>
      </c>
      <c r="D35" s="5" t="s">
        <v>190</v>
      </c>
      <c r="E35" s="5" t="s">
        <v>191</v>
      </c>
      <c r="F35" s="5" t="s">
        <v>192</v>
      </c>
      <c r="G35" s="8" t="s">
        <v>57</v>
      </c>
      <c r="H35" s="7" t="s">
        <v>31</v>
      </c>
      <c r="I35" s="5" t="s">
        <v>193</v>
      </c>
    </row>
    <row r="36" customFormat="false" ht="41.75" hidden="false" customHeight="false" outlineLevel="0" collapsed="false">
      <c r="A36" s="5" t="s">
        <v>194</v>
      </c>
      <c r="B36" s="5" t="s">
        <v>195</v>
      </c>
      <c r="C36" s="5" t="s">
        <v>196</v>
      </c>
      <c r="D36" s="5" t="s">
        <v>197</v>
      </c>
      <c r="E36" s="5" t="s">
        <v>198</v>
      </c>
      <c r="F36" s="5" t="s">
        <v>199</v>
      </c>
      <c r="G36" s="8" t="s">
        <v>57</v>
      </c>
      <c r="H36" s="7" t="s">
        <v>31</v>
      </c>
      <c r="I36" s="5" t="s">
        <v>200</v>
      </c>
    </row>
    <row r="37" customFormat="false" ht="41.75" hidden="false" customHeight="false" outlineLevel="0" collapsed="false">
      <c r="A37" s="5" t="s">
        <v>201</v>
      </c>
      <c r="B37" s="5" t="s">
        <v>202</v>
      </c>
      <c r="C37" s="5" t="s">
        <v>203</v>
      </c>
      <c r="D37" s="5" t="s">
        <v>36</v>
      </c>
      <c r="E37" s="5" t="s">
        <v>204</v>
      </c>
      <c r="F37" s="5" t="s">
        <v>205</v>
      </c>
      <c r="G37" s="8" t="s">
        <v>57</v>
      </c>
      <c r="H37" s="7" t="s">
        <v>31</v>
      </c>
      <c r="I37" s="5" t="s">
        <v>206</v>
      </c>
    </row>
    <row r="38" customFormat="false" ht="41.75" hidden="false" customHeight="false" outlineLevel="0" collapsed="false">
      <c r="A38" s="5" t="s">
        <v>207</v>
      </c>
      <c r="B38" s="5" t="s">
        <v>208</v>
      </c>
      <c r="C38" s="5" t="s">
        <v>209</v>
      </c>
      <c r="D38" s="5" t="s">
        <v>36</v>
      </c>
      <c r="E38" s="5" t="s">
        <v>210</v>
      </c>
      <c r="F38" s="5" t="s">
        <v>211</v>
      </c>
      <c r="G38" s="8" t="s">
        <v>57</v>
      </c>
      <c r="H38" s="9" t="s">
        <v>88</v>
      </c>
      <c r="I38" s="5" t="s">
        <v>212</v>
      </c>
    </row>
    <row r="39" customFormat="false" ht="41.75" hidden="false" customHeight="false" outlineLevel="0" collapsed="false">
      <c r="A39" s="5" t="s">
        <v>213</v>
      </c>
      <c r="B39" s="5" t="s">
        <v>214</v>
      </c>
      <c r="C39" s="5" t="s">
        <v>215</v>
      </c>
      <c r="D39" s="5" t="s">
        <v>36</v>
      </c>
      <c r="E39" s="5" t="s">
        <v>216</v>
      </c>
      <c r="F39" s="5" t="s">
        <v>217</v>
      </c>
      <c r="G39" s="8" t="s">
        <v>57</v>
      </c>
      <c r="H39" s="9" t="s">
        <v>88</v>
      </c>
      <c r="I39" s="5" t="s">
        <v>218</v>
      </c>
    </row>
    <row r="40" customFormat="false" ht="41.75" hidden="false" customHeight="false" outlineLevel="0" collapsed="false">
      <c r="A40" s="5" t="s">
        <v>219</v>
      </c>
      <c r="B40" s="5" t="s">
        <v>220</v>
      </c>
      <c r="C40" s="5" t="s">
        <v>221</v>
      </c>
      <c r="D40" s="5" t="s">
        <v>222</v>
      </c>
      <c r="E40" s="5" t="s">
        <v>223</v>
      </c>
      <c r="F40" s="5" t="s">
        <v>224</v>
      </c>
      <c r="G40" s="8" t="s">
        <v>57</v>
      </c>
      <c r="H40" s="7" t="s">
        <v>31</v>
      </c>
      <c r="I40" s="5" t="s">
        <v>225</v>
      </c>
    </row>
    <row r="41" customFormat="false" ht="28.35" hidden="false" customHeight="false" outlineLevel="0" collapsed="false">
      <c r="A41" s="5" t="s">
        <v>226</v>
      </c>
      <c r="B41" s="5" t="s">
        <v>227</v>
      </c>
      <c r="C41" s="5" t="s">
        <v>228</v>
      </c>
      <c r="D41" s="5" t="s">
        <v>229</v>
      </c>
      <c r="E41" s="5" t="s">
        <v>230</v>
      </c>
      <c r="F41" s="5" t="s">
        <v>231</v>
      </c>
      <c r="G41" s="8" t="s">
        <v>57</v>
      </c>
      <c r="H41" s="7" t="s">
        <v>31</v>
      </c>
      <c r="I41" s="5" t="s">
        <v>229</v>
      </c>
    </row>
    <row r="42" customFormat="false" ht="28.35" hidden="false" customHeight="false" outlineLevel="0" collapsed="false">
      <c r="A42" s="5" t="s">
        <v>232</v>
      </c>
      <c r="B42" s="5" t="s">
        <v>233</v>
      </c>
      <c r="C42" s="5" t="s">
        <v>234</v>
      </c>
      <c r="D42" s="5" t="s">
        <v>235</v>
      </c>
      <c r="E42" s="5" t="s">
        <v>236</v>
      </c>
      <c r="F42" s="5" t="s">
        <v>237</v>
      </c>
      <c r="G42" s="8" t="s">
        <v>57</v>
      </c>
      <c r="H42" s="7" t="s">
        <v>31</v>
      </c>
      <c r="I42" s="5" t="s">
        <v>235</v>
      </c>
    </row>
    <row r="43" customFormat="false" ht="28.35" hidden="false" customHeight="false" outlineLevel="0" collapsed="false">
      <c r="A43" s="5" t="s">
        <v>238</v>
      </c>
      <c r="B43" s="5" t="s">
        <v>239</v>
      </c>
      <c r="C43" s="5" t="s">
        <v>240</v>
      </c>
      <c r="D43" s="5" t="s">
        <v>241</v>
      </c>
      <c r="E43" s="5" t="s">
        <v>242</v>
      </c>
      <c r="F43" s="5" t="s">
        <v>243</v>
      </c>
      <c r="G43" s="8" t="s">
        <v>57</v>
      </c>
      <c r="H43" s="7" t="s">
        <v>31</v>
      </c>
      <c r="I43" s="5" t="s">
        <v>244</v>
      </c>
    </row>
    <row r="44" customFormat="false" ht="41.75" hidden="false" customHeight="false" outlineLevel="0" collapsed="false">
      <c r="A44" s="5" t="s">
        <v>245</v>
      </c>
      <c r="B44" s="5" t="s">
        <v>246</v>
      </c>
      <c r="C44" s="5" t="s">
        <v>247</v>
      </c>
      <c r="D44" s="5" t="s">
        <v>248</v>
      </c>
      <c r="E44" s="5" t="s">
        <v>249</v>
      </c>
      <c r="F44" s="5" t="s">
        <v>250</v>
      </c>
      <c r="G44" s="8" t="s">
        <v>57</v>
      </c>
      <c r="H44" s="7" t="s">
        <v>31</v>
      </c>
      <c r="I44" s="5" t="s">
        <v>248</v>
      </c>
    </row>
    <row r="45" customFormat="false" ht="28.35" hidden="false" customHeight="false" outlineLevel="0" collapsed="false">
      <c r="A45" s="5" t="s">
        <v>251</v>
      </c>
      <c r="B45" s="5" t="s">
        <v>252</v>
      </c>
      <c r="C45" s="5" t="s">
        <v>253</v>
      </c>
      <c r="D45" s="5" t="s">
        <v>254</v>
      </c>
      <c r="E45" s="5" t="s">
        <v>255</v>
      </c>
      <c r="F45" s="5" t="s">
        <v>256</v>
      </c>
      <c r="G45" s="8" t="s">
        <v>57</v>
      </c>
      <c r="H45" s="7" t="s">
        <v>31</v>
      </c>
      <c r="I45" s="5" t="s">
        <v>254</v>
      </c>
    </row>
    <row r="46" customFormat="false" ht="28.35" hidden="false" customHeight="false" outlineLevel="0" collapsed="false">
      <c r="A46" s="5" t="s">
        <v>257</v>
      </c>
      <c r="B46" s="5" t="s">
        <v>258</v>
      </c>
      <c r="C46" s="5" t="s">
        <v>259</v>
      </c>
      <c r="D46" s="5" t="s">
        <v>260</v>
      </c>
      <c r="E46" s="5" t="s">
        <v>261</v>
      </c>
      <c r="F46" s="5" t="s">
        <v>262</v>
      </c>
      <c r="G46" s="8" t="s">
        <v>57</v>
      </c>
      <c r="H46" s="9" t="s">
        <v>88</v>
      </c>
      <c r="I46" s="5" t="s">
        <v>260</v>
      </c>
    </row>
    <row r="47" customFormat="false" ht="28.35" hidden="false" customHeight="false" outlineLevel="0" collapsed="false">
      <c r="A47" s="5" t="s">
        <v>263</v>
      </c>
      <c r="B47" s="5" t="s">
        <v>264</v>
      </c>
      <c r="C47" s="5" t="s">
        <v>265</v>
      </c>
      <c r="D47" s="5" t="s">
        <v>266</v>
      </c>
      <c r="E47" s="5" t="s">
        <v>267</v>
      </c>
      <c r="F47" s="5" t="s">
        <v>268</v>
      </c>
      <c r="G47" s="8" t="s">
        <v>57</v>
      </c>
      <c r="H47" s="9" t="s">
        <v>88</v>
      </c>
      <c r="I47" s="5" t="s">
        <v>266</v>
      </c>
    </row>
    <row r="48" customFormat="false" ht="41.75" hidden="false" customHeight="false" outlineLevel="0" collapsed="false">
      <c r="A48" s="5" t="s">
        <v>269</v>
      </c>
      <c r="B48" s="5" t="s">
        <v>270</v>
      </c>
      <c r="C48" s="5" t="s">
        <v>271</v>
      </c>
      <c r="D48" s="5" t="s">
        <v>36</v>
      </c>
      <c r="E48" s="5" t="s">
        <v>272</v>
      </c>
      <c r="F48" s="5" t="s">
        <v>273</v>
      </c>
      <c r="G48" s="8" t="s">
        <v>57</v>
      </c>
      <c r="H48" s="9" t="s">
        <v>88</v>
      </c>
      <c r="I48" s="5" t="s">
        <v>274</v>
      </c>
    </row>
    <row r="49" customFormat="false" ht="28.35" hidden="false" customHeight="false" outlineLevel="0" collapsed="false">
      <c r="A49" s="5" t="s">
        <v>275</v>
      </c>
      <c r="B49" s="5" t="s">
        <v>276</v>
      </c>
      <c r="C49" s="5" t="s">
        <v>277</v>
      </c>
      <c r="D49" s="5" t="s">
        <v>278</v>
      </c>
      <c r="E49" s="5" t="s">
        <v>279</v>
      </c>
      <c r="F49" s="5" t="s">
        <v>280</v>
      </c>
      <c r="G49" s="8" t="s">
        <v>57</v>
      </c>
      <c r="H49" s="9" t="s">
        <v>88</v>
      </c>
      <c r="I49" s="5" t="s">
        <v>281</v>
      </c>
    </row>
    <row r="50" customFormat="false" ht="68.65" hidden="false" customHeight="false" outlineLevel="0" collapsed="false">
      <c r="A50" s="5" t="s">
        <v>282</v>
      </c>
      <c r="B50" s="5" t="s">
        <v>283</v>
      </c>
      <c r="C50" s="5" t="s">
        <v>284</v>
      </c>
      <c r="D50" s="5" t="s">
        <v>36</v>
      </c>
      <c r="E50" s="5" t="s">
        <v>285</v>
      </c>
      <c r="F50" s="5" t="s">
        <v>286</v>
      </c>
      <c r="G50" s="6" t="s">
        <v>30</v>
      </c>
      <c r="H50" s="9" t="s">
        <v>88</v>
      </c>
      <c r="I50" s="5" t="s">
        <v>287</v>
      </c>
    </row>
    <row r="51" customFormat="false" ht="41.75" hidden="false" customHeight="false" outlineLevel="0" collapsed="false">
      <c r="A51" s="5" t="s">
        <v>288</v>
      </c>
      <c r="B51" s="5" t="s">
        <v>289</v>
      </c>
      <c r="C51" s="5" t="s">
        <v>290</v>
      </c>
      <c r="D51" s="5" t="s">
        <v>36</v>
      </c>
      <c r="E51" s="5" t="s">
        <v>291</v>
      </c>
      <c r="F51" s="5" t="s">
        <v>292</v>
      </c>
      <c r="G51" s="6" t="s">
        <v>30</v>
      </c>
      <c r="H51" s="9" t="s">
        <v>88</v>
      </c>
      <c r="I51" s="5" t="s">
        <v>293</v>
      </c>
    </row>
    <row r="52" customFormat="false" ht="68.65" hidden="false" customHeight="false" outlineLevel="0" collapsed="false">
      <c r="A52" s="5" t="s">
        <v>294</v>
      </c>
      <c r="B52" s="5" t="s">
        <v>295</v>
      </c>
      <c r="C52" s="5" t="s">
        <v>296</v>
      </c>
      <c r="D52" s="5" t="s">
        <v>297</v>
      </c>
      <c r="E52" s="5" t="s">
        <v>298</v>
      </c>
      <c r="F52" s="5" t="s">
        <v>299</v>
      </c>
      <c r="G52" s="6" t="s">
        <v>30</v>
      </c>
      <c r="H52" s="10" t="s">
        <v>120</v>
      </c>
      <c r="I52" s="5" t="s">
        <v>297</v>
      </c>
    </row>
    <row r="53" customFormat="false" ht="41.75" hidden="false" customHeight="false" outlineLevel="0" collapsed="false">
      <c r="A53" s="5" t="s">
        <v>300</v>
      </c>
      <c r="B53" s="5" t="s">
        <v>301</v>
      </c>
      <c r="C53" s="5" t="s">
        <v>302</v>
      </c>
      <c r="D53" s="5" t="s">
        <v>36</v>
      </c>
      <c r="E53" s="5" t="s">
        <v>303</v>
      </c>
      <c r="F53" s="5" t="s">
        <v>304</v>
      </c>
      <c r="G53" s="8" t="s">
        <v>57</v>
      </c>
      <c r="H53" s="10" t="s">
        <v>120</v>
      </c>
      <c r="I53" s="5" t="s">
        <v>305</v>
      </c>
    </row>
    <row r="54" customFormat="false" ht="41.75" hidden="false" customHeight="false" outlineLevel="0" collapsed="false">
      <c r="A54" s="5" t="s">
        <v>306</v>
      </c>
      <c r="B54" s="5" t="s">
        <v>307</v>
      </c>
      <c r="C54" s="5" t="s">
        <v>308</v>
      </c>
      <c r="D54" s="5" t="s">
        <v>36</v>
      </c>
      <c r="E54" s="5" t="s">
        <v>309</v>
      </c>
      <c r="F54" s="5" t="s">
        <v>310</v>
      </c>
      <c r="G54" s="6" t="s">
        <v>30</v>
      </c>
      <c r="H54" s="10" t="s">
        <v>120</v>
      </c>
      <c r="I54" s="5" t="s">
        <v>311</v>
      </c>
    </row>
    <row r="55" customFormat="false" ht="28.35" hidden="false" customHeight="false" outlineLevel="0" collapsed="false">
      <c r="A55" s="5" t="s">
        <v>312</v>
      </c>
      <c r="B55" s="5" t="s">
        <v>313</v>
      </c>
      <c r="C55" s="5" t="s">
        <v>314</v>
      </c>
      <c r="D55" s="5" t="s">
        <v>36</v>
      </c>
      <c r="E55" s="5" t="s">
        <v>315</v>
      </c>
      <c r="F55" s="5" t="s">
        <v>316</v>
      </c>
      <c r="G55" s="8" t="s">
        <v>57</v>
      </c>
      <c r="H55" s="9" t="s">
        <v>88</v>
      </c>
      <c r="I55" s="5" t="s">
        <v>317</v>
      </c>
    </row>
    <row r="56" customFormat="false" ht="41.75" hidden="false" customHeight="false" outlineLevel="0" collapsed="false">
      <c r="A56" s="5" t="s">
        <v>318</v>
      </c>
      <c r="B56" s="5" t="s">
        <v>319</v>
      </c>
      <c r="C56" s="5" t="s">
        <v>320</v>
      </c>
      <c r="D56" s="5" t="s">
        <v>36</v>
      </c>
      <c r="E56" s="5" t="s">
        <v>321</v>
      </c>
      <c r="F56" s="5" t="s">
        <v>322</v>
      </c>
      <c r="G56" s="8" t="s">
        <v>57</v>
      </c>
      <c r="H56" s="9" t="s">
        <v>88</v>
      </c>
      <c r="I56" s="5" t="s">
        <v>323</v>
      </c>
    </row>
    <row r="57" customFormat="false" ht="28.35" hidden="false" customHeight="false" outlineLevel="0" collapsed="false">
      <c r="A57" s="5" t="s">
        <v>324</v>
      </c>
      <c r="B57" s="5" t="s">
        <v>325</v>
      </c>
      <c r="C57" s="5" t="s">
        <v>326</v>
      </c>
      <c r="D57" s="5" t="s">
        <v>36</v>
      </c>
      <c r="E57" s="5" t="s">
        <v>327</v>
      </c>
      <c r="F57" s="5" t="s">
        <v>328</v>
      </c>
      <c r="G57" s="8" t="s">
        <v>57</v>
      </c>
      <c r="H57" s="7" t="s">
        <v>31</v>
      </c>
      <c r="I57" s="5" t="s">
        <v>329</v>
      </c>
    </row>
    <row r="58" customFormat="false" ht="41.75" hidden="false" customHeight="false" outlineLevel="0" collapsed="false">
      <c r="A58" s="5" t="s">
        <v>330</v>
      </c>
      <c r="B58" s="5" t="s">
        <v>331</v>
      </c>
      <c r="C58" s="5" t="s">
        <v>332</v>
      </c>
      <c r="D58" s="5" t="s">
        <v>36</v>
      </c>
      <c r="E58" s="5" t="s">
        <v>333</v>
      </c>
      <c r="F58" s="5" t="s">
        <v>334</v>
      </c>
      <c r="G58" s="6" t="s">
        <v>30</v>
      </c>
      <c r="H58" s="10" t="s">
        <v>120</v>
      </c>
      <c r="I58" s="5" t="s">
        <v>335</v>
      </c>
    </row>
    <row r="59" customFormat="false" ht="41.75" hidden="false" customHeight="false" outlineLevel="0" collapsed="false">
      <c r="A59" s="5" t="s">
        <v>336</v>
      </c>
      <c r="B59" s="5" t="s">
        <v>337</v>
      </c>
      <c r="C59" s="5" t="s">
        <v>338</v>
      </c>
      <c r="D59" s="5" t="s">
        <v>36</v>
      </c>
      <c r="E59" s="5" t="s">
        <v>339</v>
      </c>
      <c r="F59" s="5" t="s">
        <v>340</v>
      </c>
      <c r="G59" s="8" t="s">
        <v>57</v>
      </c>
      <c r="H59" s="9" t="s">
        <v>88</v>
      </c>
      <c r="I59" s="5" t="s">
        <v>341</v>
      </c>
    </row>
    <row r="60" customFormat="false" ht="41.75" hidden="false" customHeight="false" outlineLevel="0" collapsed="false">
      <c r="A60" s="5" t="s">
        <v>342</v>
      </c>
      <c r="B60" s="5" t="s">
        <v>343</v>
      </c>
      <c r="C60" s="5" t="s">
        <v>344</v>
      </c>
      <c r="D60" s="5" t="s">
        <v>36</v>
      </c>
      <c r="E60" s="5" t="s">
        <v>345</v>
      </c>
      <c r="F60" s="5" t="s">
        <v>346</v>
      </c>
      <c r="G60" s="6" t="s">
        <v>30</v>
      </c>
      <c r="H60" s="10" t="s">
        <v>120</v>
      </c>
      <c r="I60" s="5" t="s">
        <v>347</v>
      </c>
    </row>
    <row r="61" customFormat="false" ht="41.75" hidden="false" customHeight="false" outlineLevel="0" collapsed="false">
      <c r="A61" s="5" t="s">
        <v>348</v>
      </c>
      <c r="B61" s="5" t="s">
        <v>349</v>
      </c>
      <c r="C61" s="5" t="s">
        <v>350</v>
      </c>
      <c r="D61" s="5" t="s">
        <v>36</v>
      </c>
      <c r="E61" s="5" t="s">
        <v>351</v>
      </c>
      <c r="F61" s="5" t="s">
        <v>352</v>
      </c>
      <c r="G61" s="6" t="s">
        <v>30</v>
      </c>
      <c r="H61" s="10" t="s">
        <v>120</v>
      </c>
      <c r="I61" s="5" t="s">
        <v>353</v>
      </c>
    </row>
    <row r="62" customFormat="false" ht="41.75" hidden="false" customHeight="false" outlineLevel="0" collapsed="false">
      <c r="A62" s="5" t="s">
        <v>354</v>
      </c>
      <c r="B62" s="5" t="s">
        <v>355</v>
      </c>
      <c r="C62" s="5" t="s">
        <v>356</v>
      </c>
      <c r="D62" s="5" t="s">
        <v>36</v>
      </c>
      <c r="E62" s="5" t="s">
        <v>357</v>
      </c>
      <c r="F62" s="5" t="s">
        <v>358</v>
      </c>
      <c r="G62" s="6" t="s">
        <v>30</v>
      </c>
      <c r="H62" s="10" t="s">
        <v>120</v>
      </c>
      <c r="I62" s="5" t="s">
        <v>359</v>
      </c>
    </row>
    <row r="63" customFormat="false" ht="41.75" hidden="false" customHeight="false" outlineLevel="0" collapsed="false">
      <c r="A63" s="5" t="s">
        <v>360</v>
      </c>
      <c r="B63" s="5" t="s">
        <v>361</v>
      </c>
      <c r="C63" s="5" t="s">
        <v>362</v>
      </c>
      <c r="D63" s="5" t="s">
        <v>36</v>
      </c>
      <c r="E63" s="5" t="s">
        <v>363</v>
      </c>
      <c r="F63" s="5" t="s">
        <v>364</v>
      </c>
      <c r="G63" s="6" t="s">
        <v>30</v>
      </c>
      <c r="H63" s="10" t="s">
        <v>120</v>
      </c>
      <c r="I63" s="5" t="s">
        <v>365</v>
      </c>
    </row>
    <row r="64" customFormat="false" ht="55.2" hidden="false" customHeight="false" outlineLevel="0" collapsed="false">
      <c r="A64" s="5" t="s">
        <v>366</v>
      </c>
      <c r="B64" s="5" t="s">
        <v>367</v>
      </c>
      <c r="C64" s="5" t="s">
        <v>368</v>
      </c>
      <c r="D64" s="5" t="s">
        <v>36</v>
      </c>
      <c r="E64" s="5" t="s">
        <v>369</v>
      </c>
      <c r="F64" s="5" t="s">
        <v>370</v>
      </c>
      <c r="G64" s="6" t="s">
        <v>30</v>
      </c>
      <c r="H64" s="9" t="s">
        <v>88</v>
      </c>
      <c r="I64" s="5" t="s">
        <v>371</v>
      </c>
    </row>
    <row r="65" customFormat="false" ht="55.2" hidden="false" customHeight="false" outlineLevel="0" collapsed="false">
      <c r="A65" s="5" t="s">
        <v>372</v>
      </c>
      <c r="B65" s="5" t="s">
        <v>373</v>
      </c>
      <c r="C65" s="5" t="s">
        <v>374</v>
      </c>
      <c r="D65" s="5" t="s">
        <v>36</v>
      </c>
      <c r="E65" s="5" t="s">
        <v>375</v>
      </c>
      <c r="F65" s="5" t="s">
        <v>376</v>
      </c>
      <c r="G65" s="8" t="s">
        <v>57</v>
      </c>
      <c r="H65" s="7" t="s">
        <v>31</v>
      </c>
      <c r="I65" s="5" t="s">
        <v>377</v>
      </c>
    </row>
    <row r="66" customFormat="false" ht="41.75" hidden="false" customHeight="false" outlineLevel="0" collapsed="false">
      <c r="A66" s="5" t="s">
        <v>378</v>
      </c>
      <c r="B66" s="5" t="s">
        <v>379</v>
      </c>
      <c r="C66" s="5" t="s">
        <v>380</v>
      </c>
      <c r="D66" s="5" t="s">
        <v>381</v>
      </c>
      <c r="E66" s="5" t="s">
        <v>382</v>
      </c>
      <c r="F66" s="5" t="s">
        <v>383</v>
      </c>
      <c r="G66" s="11" t="s">
        <v>384</v>
      </c>
      <c r="H66" s="10" t="s">
        <v>120</v>
      </c>
      <c r="I66" s="5" t="s">
        <v>385</v>
      </c>
    </row>
    <row r="67" customFormat="false" ht="55.2" hidden="false" customHeight="false" outlineLevel="0" collapsed="false">
      <c r="A67" s="5" t="s">
        <v>386</v>
      </c>
      <c r="B67" s="5" t="s">
        <v>387</v>
      </c>
      <c r="C67" s="5" t="s">
        <v>388</v>
      </c>
      <c r="D67" s="5" t="s">
        <v>384</v>
      </c>
      <c r="E67" s="5" t="s">
        <v>389</v>
      </c>
      <c r="F67" s="5" t="s">
        <v>390</v>
      </c>
      <c r="G67" s="6" t="s">
        <v>30</v>
      </c>
      <c r="H67" s="9" t="s">
        <v>88</v>
      </c>
      <c r="I67" s="5" t="s">
        <v>391</v>
      </c>
    </row>
    <row r="68" customFormat="false" ht="55.2" hidden="false" customHeight="false" outlineLevel="0" collapsed="false">
      <c r="A68" s="5" t="s">
        <v>392</v>
      </c>
      <c r="B68" s="5" t="s">
        <v>393</v>
      </c>
      <c r="C68" s="5" t="s">
        <v>394</v>
      </c>
      <c r="D68" s="5" t="s">
        <v>384</v>
      </c>
      <c r="E68" s="5" t="s">
        <v>395</v>
      </c>
      <c r="F68" s="5" t="s">
        <v>396</v>
      </c>
      <c r="G68" s="8" t="s">
        <v>57</v>
      </c>
      <c r="H68" s="9" t="s">
        <v>88</v>
      </c>
      <c r="I68" s="5" t="s">
        <v>397</v>
      </c>
    </row>
    <row r="69" customFormat="false" ht="41.75" hidden="false" customHeight="false" outlineLevel="0" collapsed="false">
      <c r="A69" s="5" t="s">
        <v>398</v>
      </c>
      <c r="B69" s="5" t="s">
        <v>399</v>
      </c>
      <c r="C69" s="5" t="s">
        <v>400</v>
      </c>
      <c r="D69" s="5" t="s">
        <v>401</v>
      </c>
      <c r="E69" s="5" t="s">
        <v>402</v>
      </c>
      <c r="F69" s="5" t="s">
        <v>403</v>
      </c>
      <c r="G69" s="6" t="s">
        <v>30</v>
      </c>
      <c r="H69" s="9" t="s">
        <v>88</v>
      </c>
      <c r="I69" s="5" t="s">
        <v>404</v>
      </c>
    </row>
    <row r="72" customFormat="false" ht="15" hidden="false" customHeight="false" outlineLevel="0" collapsed="false">
      <c r="A72" s="12" t="s">
        <v>405</v>
      </c>
      <c r="B72" s="12"/>
      <c r="C72" s="12"/>
    </row>
    <row r="73" customFormat="false" ht="15" hidden="false" customHeight="false" outlineLevel="0" collapsed="false">
      <c r="A73" s="3" t="s">
        <v>406</v>
      </c>
      <c r="B73" s="2" t="n">
        <f aca="false">COUNTA(A10:A69)</f>
        <v>60</v>
      </c>
    </row>
    <row r="74" customFormat="false" ht="15" hidden="false" customHeight="false" outlineLevel="0" collapsed="false">
      <c r="A74" s="3" t="s">
        <v>407</v>
      </c>
      <c r="B74" s="2" t="n">
        <f aca="false">COUNTIF(H10:H69,"P0")</f>
        <v>25</v>
      </c>
    </row>
    <row r="75" customFormat="false" ht="15" hidden="false" customHeight="false" outlineLevel="0" collapsed="false">
      <c r="A75" s="3" t="s">
        <v>408</v>
      </c>
      <c r="B75" s="2" t="n">
        <f aca="false">COUNTIF(H10:H69,"P1")</f>
        <v>24</v>
      </c>
    </row>
    <row r="76" customFormat="false" ht="15" hidden="false" customHeight="false" outlineLevel="0" collapsed="false">
      <c r="A76" s="3" t="s">
        <v>409</v>
      </c>
      <c r="B76" s="2" t="n">
        <f aca="false">COUNTIF(H10:H69,"P2")</f>
        <v>11</v>
      </c>
    </row>
    <row r="77" customFormat="false" ht="15" hidden="false" customHeight="false" outlineLevel="0" collapsed="false">
      <c r="A77" s="3" t="s">
        <v>410</v>
      </c>
      <c r="B77" s="13" t="n">
        <f aca="false">COUNTIF(G10:G69,"Pass")</f>
        <v>30</v>
      </c>
    </row>
    <row r="78" customFormat="false" ht="15" hidden="false" customHeight="false" outlineLevel="0" collapsed="false">
      <c r="A78" s="3" t="s">
        <v>411</v>
      </c>
      <c r="B78" s="14" t="n">
        <f aca="false">COUNTIF(G10:G69,"Fail")</f>
        <v>29</v>
      </c>
    </row>
    <row r="79" customFormat="false" ht="15" hidden="false" customHeight="false" outlineLevel="0" collapsed="false">
      <c r="A79" s="3" t="s">
        <v>412</v>
      </c>
      <c r="B79" s="15" t="n">
        <f aca="false">COUNTIF(G10:G69,"N/A")</f>
        <v>1</v>
      </c>
    </row>
    <row r="80" customFormat="false" ht="15" hidden="false" customHeight="false" outlineLevel="0" collapsed="false">
      <c r="A80" s="3" t="s">
        <v>413</v>
      </c>
      <c r="B80" s="15" t="n">
        <f aca="false">COUNTIF(G10:G69,"Not Executed")</f>
        <v>0</v>
      </c>
    </row>
    <row r="81" customFormat="false" ht="15" hidden="false" customHeight="false" outlineLevel="0" collapsed="false">
      <c r="A81" s="3" t="s">
        <v>414</v>
      </c>
      <c r="B81" s="0" t="str">
        <f aca="false">ROUND(B77/(B73-B79)*100,1)&amp;"%"</f>
        <v>50.8%</v>
      </c>
    </row>
  </sheetData>
  <mergeCells count="1">
    <mergeCell ref="A72:C7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2026-03-11T13:57:30Z</dcterms:created>
  <dc:creator>openpyxl</dc:creator>
  <dc:description/>
  <dc:language>en-US</dc:language>
  <cp:lastModifiedBy/>
  <dcterms:modified xsi:type="dcterms:W3CDTF">2026-03-13T17:58:59Z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