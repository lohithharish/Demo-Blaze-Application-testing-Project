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out 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<sst xmlns="http://schemas.openxmlformats.org/spreadsheetml/2006/main" count="483" uniqueCount="352">
  <si>
    <t xml:space="preserve">Test Scenario ID</t>
  </si>
  <si>
    <t xml:space="preserve">TS_003</t>
  </si>
  <si>
    <t xml:space="preserve">Test Scenario Name</t>
  </si>
  <si>
    <t xml:space="preserve">Validate Logout Functionality</t>
  </si>
  <si>
    <t xml:space="preserve">Project</t>
  </si>
  <si>
    <t xml:space="preserve">DemoBlaze Product Store</t>
  </si>
  <si>
    <t xml:space="preserve">Module</t>
  </si>
  <si>
    <t xml:space="preserve">User Authentication - Logout</t>
  </si>
  <si>
    <t xml:space="preserve">Created By</t>
  </si>
  <si>
    <t xml:space="preserve">MH Lohith</t>
  </si>
  <si>
    <t xml:space="preserve">Creation Date</t>
  </si>
  <si>
    <t xml:space="preserve">08-03-2026</t>
  </si>
  <si>
    <t xml:space="preserve">Execution Date</t>
  </si>
  <si>
    <t xml:space="preserve">12-03-2026</t>
  </si>
  <si>
    <t xml:space="preserve">Test Case ID</t>
  </si>
  <si>
    <t xml:space="preserve">Test Case Description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</si>
  <si>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</si>
  <si>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</si>
  <si>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</si>
  <si>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</si>
  <si>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</si>
  <si>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</si>
  <si>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Remarks</t>
  </si>
  <si>
    <t xml:space="preserve">TC_LO_001</t>
  </si>
  <si>
    <t xml:space="preserve">Verify successful logout from home page</t>
  </si>
  <si>
    <t xml:space="preserve">1. Login to application
2. Verify user is logged in (Welcome username displayed)
3. Click 'Log out' link
4. Verify logout</t>
  </si>
  <si>
    <t xml:space="preserve">Username: validuser123
Password: Valid@123</t>
  </si>
  <si>
    <t xml:space="preserve">1. User logged out successfully
2. 'Log out' link changes to 'Log in'
3. Welcome message removed
4. Session cleared
5. Redirected to home page</t>
  </si>
  <si>
    <t xml:space="preserve">After clicking 'Log out' from home page: navbar immediately updates — 'Log out' link disappears, 'Log in' and 'Sign up' links reappear, 'Welcome validuser123' message removed; user remains on home page; localStorage token cleared; logout completes in under 200ms</t>
  </si>
  <si>
    <t xml:space="preserve">Pass</t>
  </si>
  <si>
    <t xml:space="preserve">P0</t>
  </si>
  <si>
    <t xml:space="preserve">Happy path - standard logout</t>
  </si>
  <si>
    <t xml:space="preserve">TC_LO_002</t>
  </si>
  <si>
    <t xml:space="preserve">Verify logout from different pages (Product page)</t>
  </si>
  <si>
    <t xml:space="preserve">1. Login to application
2. Navigate to a product page
3. Click 'Log out'
4. Verify logout</t>
  </si>
  <si>
    <t xml:space="preserve">1. User logged out successfully
2. Session cleared
3. Redirected appropriately</t>
  </si>
  <si>
    <t xml:space="preserve">Clicking 'Log out' from a product details page: logout executes immediately; navbar updates to logged-out state; user remains on the product page (no redirect); session cleared successfully</t>
  </si>
  <si>
    <t xml:space="preserve">Logout from different page context</t>
  </si>
  <si>
    <t xml:space="preserve">TC_LO_003</t>
  </si>
  <si>
    <t xml:space="preserve">Verify logout from Cart page</t>
  </si>
  <si>
    <t xml:space="preserve">1. Login to application
2. Add items to cart
3. Navigate to Cart page
4. Click 'Log out'
5. Verify logout</t>
  </si>
  <si>
    <t xml:space="preserve">1. User logged out
2. Cart items behavior based on design (saved or cleared)
3. Session cleared</t>
  </si>
  <si>
    <t xml:space="preserve">Clicking 'Log out' while on cart page: logout completes immediately; navbar updates to logged-out state; cart page remains visible but shows empty cart; cart items are not visible to the guest session after logout</t>
  </si>
  <si>
    <t xml:space="preserve">Logout with cart items</t>
  </si>
  <si>
    <t xml:space="preserve">TC_LO_004</t>
  </si>
  <si>
    <t xml:space="preserve">Verify logout from About us page</t>
  </si>
  <si>
    <t xml:space="preserve">1. Login to application
2. Navigate to About us
3. Click 'Log out'
4. Verify logout</t>
  </si>
  <si>
    <t xml:space="preserve">User logged out successfully from About us page</t>
  </si>
  <si>
    <t xml:space="preserve">Clicking 'Log out' from the About us modal page context: logout works correctly; navbar updates; no errors; user remains on current page</t>
  </si>
  <si>
    <t xml:space="preserve">P1</t>
  </si>
  <si>
    <t xml:space="preserve">Logout from informational page</t>
  </si>
  <si>
    <t xml:space="preserve">TC_LO_005</t>
  </si>
  <si>
    <t xml:space="preserve">Verify logout from Contact page</t>
  </si>
  <si>
    <t xml:space="preserve">1. Login to application
2. Navigate to Contact page
3. Click 'Log out'
4. Verify logout</t>
  </si>
  <si>
    <t xml:space="preserve">User logged out successfully from Contact page</t>
  </si>
  <si>
    <t xml:space="preserve">Clicking 'Log out' from the Contact modal page context: logout executes successfully; navbar updates; session cleared; no page disruption</t>
  </si>
  <si>
    <t xml:space="preserve">Logout from contact page</t>
  </si>
  <si>
    <t xml:space="preserve">TC_LO_006</t>
  </si>
  <si>
    <t xml:space="preserve">Verify session is completely cleared after logout</t>
  </si>
  <si>
    <t xml:space="preserve">1. Login to application
2. Click 'Log out'
3. Check browser cookies/session storage
4. Check local storage</t>
  </si>
  <si>
    <t xml:space="preserve">1. All session tokens removed
2. Authentication cookies cleared
3. Session storage cleared
4. User state removed</t>
  </si>
  <si>
    <t xml:space="preserve">After logout: localStorage key 'tokenLS' is cleared (set to empty/null); cookie 'tokenCookieLS' is cleared; user state removed from client. HOWEVER: no server-side session invalidation request is made — the session token on the server remains technically valid</t>
  </si>
  <si>
    <t xml:space="preserve">Fail</t>
  </si>
  <si>
    <t xml:space="preserve">Session cleanup validation</t>
  </si>
  <si>
    <t xml:space="preserve">TC_LO_007</t>
  </si>
  <si>
    <t xml:space="preserve">Verify user cannot access protected pages after logout</t>
  </si>
  <si>
    <t xml:space="preserve">1. Login to application
2. Click 'Log out'
3. Try to navigate to user-specific pages
4. Try using browser back button</t>
  </si>
  <si>
    <t xml:space="preserve">1. Redirected to login page
2. Cannot access protected content
3. Back button doesn't restore session</t>
  </si>
  <si>
    <t xml:space="preserve">After logout, attempting to access protected pages: demoblaze has NO protected-only pages — all pages (home, product, cart) are publicly accessible without authentication. Browser back button shows cached pages but localStorage token is cleared so user is treated as guest; no redirect to login page occurs</t>
  </si>
  <si>
    <t xml:space="preserve">Post-logout access control</t>
  </si>
  <si>
    <t xml:space="preserve">TC_LO_008</t>
  </si>
  <si>
    <t xml:space="preserve">Verify authentication state after logout</t>
  </si>
  <si>
    <t xml:space="preserve">1. Login to application
2. Click 'Log out'
3. Check navbar links
4. Verify user state</t>
  </si>
  <si>
    <t xml:space="preserve">1. 'Log out' changes to 'Log in'
2. 'Welcome username' removed
3. User treated as guest
4. All UI reflects logged-out state</t>
  </si>
  <si>
    <t xml:space="preserve">After logout: 'Log out' link removed from navbar, 'Log in' appears, 'Welcome username' removed, user treated as guest on all pages; client-side UI fully reflects logged-out state correctly</t>
  </si>
  <si>
    <t xml:space="preserve">UI state validation</t>
  </si>
  <si>
    <t xml:space="preserve">TC_LO_009</t>
  </si>
  <si>
    <t xml:space="preserve">Verify cart persistence after logout</t>
  </si>
  <si>
    <t xml:space="preserve">1. Login to application
2. Add 3 items to cart
3. Click 'Log out'
4. Login again
5. Check cart</t>
  </si>
  <si>
    <t xml:space="preserve">Cart items either persisted OR cleared based on business rules</t>
  </si>
  <si>
    <t xml:space="preserve">Cart items after logout and re-login: after logging out, cart appears empty for guest session; upon re-login with same credentials, cart items ARE restored from server-side storage — cart persists across login sessions</t>
  </si>
  <si>
    <t xml:space="preserve">Cart state after logout</t>
  </si>
  <si>
    <t xml:space="preserve">TC_LO_010</t>
  </si>
  <si>
    <t xml:space="preserve">Verify logout doesn't affect other users' sessions</t>
  </si>
  <si>
    <t xml:space="preserve">1. Login User A in Browser 1
2. Login User B in Browser 2
3. Logout User A in Browser 1
4. Check User B session in Browser 2</t>
  </si>
  <si>
    <t xml:space="preserve">User A: userA123, Pass@123
User B: userB456, Pass@456</t>
  </si>
  <si>
    <t xml:space="preserve">User B remains logged in and unaffected</t>
  </si>
  <si>
    <t xml:space="preserve">Logging out User A does not affect User B's session in a separate browser: each session is independent via separate localStorage contexts; User B remains logged in and unaffected</t>
  </si>
  <si>
    <t xml:space="preserve">Multi-user session isolation</t>
  </si>
  <si>
    <t xml:space="preserve">TC_LO_011</t>
  </si>
  <si>
    <t xml:space="preserve">Verify logout invalidates session token</t>
  </si>
  <si>
    <t xml:space="preserve">1. Login to application
2. Capture session token
3. Click 'Log out'
4. Try to use captured token in API request</t>
  </si>
  <si>
    <t xml:space="preserve">1. Session token invalidated
2. API requests with old token rejected
3. 401 Unauthorized response</t>
  </si>
  <si>
    <t xml:space="preserve">Session token invalidation after logout: the localStorage token is cleared client-side, BUT the token is NOT invalidated server-side. API calls made with the captured token after logout continue to return valid responses — token remains active on the server (critical security vulnerability)</t>
  </si>
  <si>
    <t xml:space="preserve">Security - token invalidation</t>
  </si>
  <si>
    <t xml:space="preserve">TC_LO_012</t>
  </si>
  <si>
    <t xml:space="preserve">Verify logout prevents CSRF attacks</t>
  </si>
  <si>
    <t xml:space="preserve">1. Login to application
2. Click 'Log out'
3. Try to submit form with old CSRF token</t>
  </si>
  <si>
    <t xml:space="preserve">CSRF tokens invalidated, requests rejected</t>
  </si>
  <si>
    <t xml:space="preserve">CSRF protection after logout: no CSRF tokens are implemented anywhere on demoblaze — forms lack CSRF tokens both before and after logout; this is a pre-existing security gap not specific to the logout flow</t>
  </si>
  <si>
    <t xml:space="preserve">Security - CSRF protection</t>
  </si>
  <si>
    <t xml:space="preserve">TC_LO_013</t>
  </si>
  <si>
    <t xml:space="preserve">Verify logout clears sensitive data from memory</t>
  </si>
  <si>
    <t xml:space="preserve">1. Login to application
2. Navigate to profile/sensitive pages
3. Click 'Log out'
4. Check browser memory/cache</t>
  </si>
  <si>
    <t xml:space="preserve">1. Sensitive data cleared
2. No user info in browser cache
3. Form data cleared</t>
  </si>
  <si>
    <t xml:space="preserve">Sensitive data after logout: localStorage is cleared of the auth token; browser cache may retain visited product pages and cart HTML; no specific sensitive user data (profile, payment) is stored in cache as the site has no profile page</t>
  </si>
  <si>
    <t xml:space="preserve">Security - data cleanup</t>
  </si>
  <si>
    <t xml:space="preserve">TC_LO_014</t>
  </si>
  <si>
    <t xml:space="preserve">Verify forced logout on session expiry</t>
  </si>
  <si>
    <t xml:space="preserve">1. Login to application
2. Wait for session timeout
3. Try to perform action
4. Verify forced logout</t>
  </si>
  <si>
    <t xml:space="preserve">1. Session expires automatically
2. User logged out
3. Redirect to login with message</t>
  </si>
  <si>
    <t xml:space="preserve">Session timeout / forced logout: NO automatic session timeout is implemented on demoblaze; session persists indefinitely until manual logout or browser storage is cleared; no forced logout mechanism exists</t>
  </si>
  <si>
    <t xml:space="preserve">Automatic logout on timeout</t>
  </si>
  <si>
    <t xml:space="preserve">TC_LO_015</t>
  </si>
  <si>
    <t xml:space="preserve">Verify logout from multiple browser tabs</t>
  </si>
  <si>
    <t xml:space="preserve">1. Login in Tab 1
2. Open Tab 2 with same account
3. Click 'Log out' in Tab 1
4. Check Tab 2 status</t>
  </si>
  <si>
    <t xml:space="preserve">Both tabs logged out OR Tab 2 shows logout state</t>
  </si>
  <si>
    <t xml:space="preserve">Multi-tab session sync: logging out in Tab 1 does NOT automatically update Tab 2 — Tab 2 shows stale logged-in UI until manually refreshed; no cross-tab session synchronization implemented</t>
  </si>
  <si>
    <t xml:space="preserve">Multi-tab session sync</t>
  </si>
  <si>
    <t xml:space="preserve">TC_LO_016</t>
  </si>
  <si>
    <t xml:space="preserve">Verify 'Log out' link is visible when logged in</t>
  </si>
  <si>
    <t xml:space="preserve">1. Login to application
2. Check navigation bar
3. Verify 'Log out' link presence</t>
  </si>
  <si>
    <t xml:space="preserve">1. 'Log out' link visible in navbar
2. Link is clickable
3. Properly styled and positioned</t>
  </si>
  <si>
    <t xml:space="preserve">'Log out' link is clearly visible in the navbar when logged in; link is properly styled as a Bootstrap nav-item; clickable and correctly positioned in the navigation bar</t>
  </si>
  <si>
    <t xml:space="preserve">UI visibility validation</t>
  </si>
  <si>
    <t xml:space="preserve">TC_LO_017</t>
  </si>
  <si>
    <t xml:space="preserve">Verify 'Log out' link is NOT visible when logged out</t>
  </si>
  <si>
    <t xml:space="preserve">1. Ensure user is logged out
2. Check navigation bar
3. Verify links displayed</t>
  </si>
  <si>
    <t xml:space="preserve">N/A</t>
  </si>
  <si>
    <t xml:space="preserve">1. 'Log out' link not visible
2. 'Log in' and 'Sign up' visible
3. No 'Welcome username' message</t>
  </si>
  <si>
    <t xml:space="preserve">When logged out, 'Log out' link is NOT visible in navbar; 'Log in' and 'Sign up' links are displayed; no 'Welcome' message; UI correctly reflects guest state</t>
  </si>
  <si>
    <t xml:space="preserve">Logged-out state UI</t>
  </si>
  <si>
    <t xml:space="preserve">TC_LO_018</t>
  </si>
  <si>
    <t xml:space="preserve">Verify Welcome message displays correct username</t>
  </si>
  <si>
    <t xml:space="preserve">1. Login with specific username
2. Check welcome message
3. Verify username displayed</t>
  </si>
  <si>
    <t xml:space="preserve">Username: testuser123
Password: Valid@123</t>
  </si>
  <si>
    <t xml:space="preserve">'Welcome testuser123' displayed correctly in navbar</t>
  </si>
  <si>
    <t xml:space="preserve">Welcome message displays correct username: after logging in as 'testuser123', navbar shows 'Welcome testuser123' accurately; username displayed exactly as registered</t>
  </si>
  <si>
    <t xml:space="preserve">Username display validation</t>
  </si>
  <si>
    <t xml:space="preserve">TC_LO_019</t>
  </si>
  <si>
    <t xml:space="preserve">Verify logout confirmation (if exists)</t>
  </si>
  <si>
    <t xml:space="preserve">1. Login to application
2. Click 'Log out'
3. Check for confirmation dialog</t>
  </si>
  <si>
    <t xml:space="preserve">Confirmation dialog shown OR direct logout based on design</t>
  </si>
  <si>
    <t xml:space="preserve">No logout confirmation dialog is shown — clicking 'Log out' immediately logs the user out with no confirmation prompt or warning</t>
  </si>
  <si>
    <t xml:space="preserve">P2</t>
  </si>
  <si>
    <t xml:space="preserve">Logout confirmation feature</t>
  </si>
  <si>
    <t xml:space="preserve">TC_LO_020</t>
  </si>
  <si>
    <t xml:space="preserve">Verify logout success message (if exists)</t>
  </si>
  <si>
    <t xml:space="preserve">1. Login to application
2. Click 'Log out'
3. Check for success message</t>
  </si>
  <si>
    <t xml:space="preserve">Success message displayed: 'You have been logged out' OR similar</t>
  </si>
  <si>
    <t xml:space="preserve">No success/confirmation message is shown after logout — user is simply logged out silently with no feedback message like 'You have been logged out'</t>
  </si>
  <si>
    <t xml:space="preserve">User feedback on logout</t>
  </si>
  <si>
    <t xml:space="preserve">TC_LO_021</t>
  </si>
  <si>
    <t xml:space="preserve">Verify logout link styling and hover effect</t>
  </si>
  <si>
    <t xml:space="preserve">1. Login to application
2. Hover over 'Log out' link
3. Verify visual feedback</t>
  </si>
  <si>
    <t xml:space="preserve">Hover effect displayed (color change, underline, etc.)</t>
  </si>
  <si>
    <t xml:space="preserve">'Log out' link shows a subtle hover effect: text color changes slightly on hover (Bootstrap navbar default styling); cursor changes to pointer; adequate visual feedback for interaction</t>
  </si>
  <si>
    <t xml:space="preserve">UI/UX - hover states</t>
  </si>
  <si>
    <t xml:space="preserve">TC_LO_022</t>
  </si>
  <si>
    <t xml:space="preserve">Verify browser back button after logout</t>
  </si>
  <si>
    <t xml:space="preserve">1. Login to application
2. Navigate to different pages
3. Click 'Log out'
4. Click browser back button</t>
  </si>
  <si>
    <t xml:space="preserve">1. Cannot access previous logged-in pages
2. Redirected to login OR shown cached page without session
3. No session restored</t>
  </si>
  <si>
    <t xml:space="preserve">Browser back button after logout: previously visited pages are shown from browser cache but since localStorage is cleared, user is in guest state; no session is restored; all pages show logged-out navbar; no security breach as no protected pages exist on demoblaze</t>
  </si>
  <si>
    <t xml:space="preserve">Back button security</t>
  </si>
  <si>
    <t xml:space="preserve">TC_LO_023</t>
  </si>
  <si>
    <t xml:space="preserve">Verify browser forward button after logout</t>
  </si>
  <si>
    <t xml:space="preserve">1. Login to application
2. Click 'Log out'
3. Click browser forward button</t>
  </si>
  <si>
    <t xml:space="preserve">Cannot access logged-in pages via forward button</t>
  </si>
  <si>
    <t xml:space="preserve">Browser forward button after logout: navigates forward in browser history but localStorage token remains cleared; user remains in guest state; no logged-in session restored via forward navigation</t>
  </si>
  <si>
    <t xml:space="preserve">Forward button security</t>
  </si>
  <si>
    <t xml:space="preserve">TC_LO_024</t>
  </si>
  <si>
    <t xml:space="preserve">Verify page refresh after logout</t>
  </si>
  <si>
    <t xml:space="preserve">1. Login to application
2. Click 'Log out'
3. Refresh the page (F5)</t>
  </si>
  <si>
    <t xml:space="preserve">1. User remains logged out
2. Session not restored
3. UI shows logged-out state</t>
  </si>
  <si>
    <t xml:space="preserve">Page refresh after logout: refreshing the page maintains logged-out state; localStorage token remains cleared after F5; navbar continues to show 'Log in' / 'Sign up'; session NOT restored on refresh</t>
  </si>
  <si>
    <t xml:space="preserve">Refresh button handling</t>
  </si>
  <si>
    <t xml:space="preserve">TC_LO_025</t>
  </si>
  <si>
    <t xml:space="preserve">Verify bookmark access after logout</t>
  </si>
  <si>
    <t xml:space="preserve">1. Login to application
2. Bookmark a protected page
3. Click 'Log out'
4. Click bookmarked page</t>
  </si>
  <si>
    <t xml:space="preserve">1. Redirected to login page
2. Cannot access protected content
3. Appropriate message shown</t>
  </si>
  <si>
    <t xml:space="preserve">Bookmark access after logout: navigating to a bookmarked product or cart page while logged out loads the page in guest state; no redirect to login; all pages are publicly accessible on demoblaze</t>
  </si>
  <si>
    <t xml:space="preserve">Bookmark security</t>
  </si>
  <si>
    <t xml:space="preserve">TC_LO_026</t>
  </si>
  <si>
    <t xml:space="preserve">Verify logout functionality on Chrome browser</t>
  </si>
  <si>
    <t xml:space="preserve">1. Open Chrome browser
2. Login to application
3. Click 'Log out'
4. Verify logout</t>
  </si>
  <si>
    <t xml:space="preserve">Username: chromeuser
Password: Valid@123</t>
  </si>
  <si>
    <t xml:space="preserve">Logout works correctly on Chrome</t>
  </si>
  <si>
    <t xml:space="preserve">Logout works correctly on Chrome: navbar updates immediately; localStorage cleared; UI reflects guest state; no console errors</t>
  </si>
  <si>
    <t xml:space="preserve">Cross-browser - Chrome</t>
  </si>
  <si>
    <t xml:space="preserve">TC_LO_027</t>
  </si>
  <si>
    <t xml:space="preserve">Verify logout functionality on Firefox browser</t>
  </si>
  <si>
    <t xml:space="preserve">1. Open Firefox browser
2. Login to application
3. Click 'Log out'
4. Verify logout</t>
  </si>
  <si>
    <t xml:space="preserve">Username: firefoxuser
Password: Valid@123</t>
  </si>
  <si>
    <t xml:space="preserve">Logout works correctly on Firefox</t>
  </si>
  <si>
    <t xml:space="preserve">Logout works correctly on Firefox: same behavior as Chrome; instant client-side logout; localStorage cleared; navbar updated; no errors</t>
  </si>
  <si>
    <t xml:space="preserve">Cross-browser - Firefox</t>
  </si>
  <si>
    <t xml:space="preserve">TC_LO_028</t>
  </si>
  <si>
    <t xml:space="preserve">Verify logout functionality on Safari browser</t>
  </si>
  <si>
    <t xml:space="preserve">1. Open Safari browser
2. Login to application
3. Click 'Log out'
4. Verify logout</t>
  </si>
  <si>
    <t xml:space="preserve">Username: safariuser
Password: Valid@123</t>
  </si>
  <si>
    <t xml:space="preserve">Logout works correctly on Safari</t>
  </si>
  <si>
    <t xml:space="preserve">Logout works correctly on Safari: logout executes successfully; localStorage cleared; navbar updates to logged-out state; no browser-specific issues</t>
  </si>
  <si>
    <t xml:space="preserve">Cross-browser - Safari</t>
  </si>
  <si>
    <t xml:space="preserve">TC_LO_029</t>
  </si>
  <si>
    <t xml:space="preserve">Verify logout functionality on Edge browser</t>
  </si>
  <si>
    <t xml:space="preserve">1. Open Edge browser
2. Login to application
3. Click 'Log out'
4. Verify logout</t>
  </si>
  <si>
    <t xml:space="preserve">Username: edgeuser
Password: Valid@123</t>
  </si>
  <si>
    <t xml:space="preserve">Logout works correctly on Edge</t>
  </si>
  <si>
    <t xml:space="preserve">Logout works correctly on Microsoft Edge: full logout functionality works; localStorage cleared; UI state updates correctly; no Edge-specific issues</t>
  </si>
  <si>
    <t xml:space="preserve">Cross-browser - Edge</t>
  </si>
  <si>
    <t xml:space="preserve">TC_LO_030</t>
  </si>
  <si>
    <t xml:space="preserve">Verify logout on mobile devices</t>
  </si>
  <si>
    <t xml:space="preserve">1. Login on mobile device
2. Tap 'Log out' link
3. Verify logout</t>
  </si>
  <si>
    <t xml:space="preserve">Username: mobileuser
Password: Valid@123</t>
  </si>
  <si>
    <t xml:space="preserve">1. 'Log out' link accessible on mobile
2. Logout successful
3. Mobile UI updates correctly</t>
  </si>
  <si>
    <t xml:space="preserve">Logout on mobile (375×667): 'Log out' link accessible via hamburger menu; tapping 'Log out' executes immediately; navbar collapses and updates to show 'Log in' / 'Sign up' links; logout works correctly on mobile</t>
  </si>
  <si>
    <t xml:space="preserve">Mobile responsiveness</t>
  </si>
  <si>
    <t xml:space="preserve">TC_LO_031</t>
  </si>
  <si>
    <t xml:space="preserve">Verify logout on tablet devices</t>
  </si>
  <si>
    <t xml:space="preserve">1. Login on tablet
2. Tap 'Log out' link
3. Verify logout</t>
  </si>
  <si>
    <t xml:space="preserve">Username: tabletuser
Password: Valid@123</t>
  </si>
  <si>
    <t xml:space="preserve">'Log out' works correctly on tablet</t>
  </si>
  <si>
    <t xml:space="preserve">Logout on tablet (768×1024): 'Log out' link visible in full horizontal navbar; tapping works correctly; session cleared; UI updates to logged-out state; no tablet-specific issues</t>
  </si>
  <si>
    <t xml:space="preserve">Tablet responsiveness</t>
  </si>
  <si>
    <t xml:space="preserve">TC_LO_032</t>
  </si>
  <si>
    <t xml:space="preserve">Verify logout with touch interaction on mobile</t>
  </si>
  <si>
    <t xml:space="preserve">1. Login on mobile device
2. Touch 'Log out' link
3. Verify touch response</t>
  </si>
  <si>
    <t xml:space="preserve">Username: touchuser
Password: Valid@123</t>
  </si>
  <si>
    <t xml:space="preserve">Touch interaction works smoothly for logout</t>
  </si>
  <si>
    <t xml:space="preserve">Touch interaction for logout on mobile: single tap on 'Log out' link in hamburger menu triggers logout immediately; no double-tap required; touch target adequate size; smooth touch response</t>
  </si>
  <si>
    <t xml:space="preserve">Mobile touch functionality</t>
  </si>
  <si>
    <t xml:space="preserve">TC_LO_033</t>
  </si>
  <si>
    <t xml:space="preserve">Verify logout response time</t>
  </si>
  <si>
    <t xml:space="preserve">1. Login to application
2. Click 'Log out'
3. Measure logout time</t>
  </si>
  <si>
    <t xml:space="preserve">Username: perfuser
Password: Valid@123</t>
  </si>
  <si>
    <t xml:space="preserve">1. Logout completes within 1 second
2. Immediate UI feedback
3. Fast session cleanup</t>
  </si>
  <si>
    <t xml:space="preserve">Logout response time: since logout is purely client-side (no API call), it completes in under 100ms; navbar updates instantly; excellent performance — well within 1-second threshold</t>
  </si>
  <si>
    <t xml:space="preserve">Performance validation</t>
  </si>
  <si>
    <t xml:space="preserve">TC_LO_034</t>
  </si>
  <si>
    <t xml:space="preserve">Verify multiple rapid logout attempts</t>
  </si>
  <si>
    <t xml:space="preserve">1. Login to application
2. Click 'Log out' multiple times rapidly
3. Check system response</t>
  </si>
  <si>
    <t xml:space="preserve">1. System handles gracefully
2. No errors displayed
3. Single logout processed</t>
  </si>
  <si>
    <t xml:space="preserve">Rapid logout clicks: clicking 'Log out' multiple times rapidly is handled gracefully; logout occurs once on first click; subsequent clicks have no effect (user already logged out); no errors or duplicate processing</t>
  </si>
  <si>
    <t xml:space="preserve">Edge case - rapid clicks</t>
  </si>
  <si>
    <t xml:space="preserve">TC_LO_035</t>
  </si>
  <si>
    <t xml:space="preserve">Verify logout under slow network</t>
  </si>
  <si>
    <t xml:space="preserve">1. Simulate slow 3G network
2. Login to application
3. Click 'Log out'
4. Verify completion</t>
  </si>
  <si>
    <t xml:space="preserve">1. Loading indicator shown
2. Logout completes or timeout
3. User informed of status</t>
  </si>
  <si>
    <t xml:space="preserve">Logout under slow 3G network: since demoblaze logout is entirely client-side (localStorage clear + DOM update), network speed has zero impact; logout completes instantly regardless of network conditions; no loading indicator needed or shown</t>
  </si>
  <si>
    <t xml:space="preserve">Network resilience</t>
  </si>
  <si>
    <t xml:space="preserve">TC_LO_036</t>
  </si>
  <si>
    <t xml:space="preserve">Verify logout with active order/transaction</t>
  </si>
  <si>
    <t xml:space="preserve">1. Login to application
2. Start placing an order
3. Click 'Log out' mid-process
4. Check order status</t>
  </si>
  <si>
    <t xml:space="preserve">1. Order process interrupted
2. Warning shown (if applicable)
3. Data handling based on business rules</t>
  </si>
  <si>
    <t xml:space="preserve">Logout during active order/transaction (mid Place Order flow): clicking 'Log out' while Place Order modal is open closes the modal and logs out; partial order data is discarded; no order is submitted; cart items remain server-side and are restored on next login</t>
  </si>
  <si>
    <t xml:space="preserve">Transaction interruption</t>
  </si>
  <si>
    <t xml:space="preserve">TC_LO_037</t>
  </si>
  <si>
    <t xml:space="preserve">Verify logout clears shopping cart display</t>
  </si>
  <si>
    <t xml:space="preserve">1. Login to application
2. Add items to cart
3. Note cart count in navbar
4. Click 'Log out'
5. Check cart display</t>
  </si>
  <si>
    <t xml:space="preserve">Cart count/icon updated or hidden after logout</t>
  </si>
  <si>
    <t xml:space="preserve">Cart display after logout: demoblaze navbar does not show a cart item counter/badge; cart page shows empty after logout; no cart count UI element to update in navbar</t>
  </si>
  <si>
    <t xml:space="preserve">Cart UI after logout</t>
  </si>
  <si>
    <t xml:space="preserve">TC_LO_038</t>
  </si>
  <si>
    <t xml:space="preserve">Verify logout after password change</t>
  </si>
  <si>
    <t xml:space="preserve">1. Login to application
2. Change password
3. Click 'Log out'
4. Try to login with old password</t>
  </si>
  <si>
    <t xml:space="preserve">Username: validuser123
Old Pass: Old@123
New Pass: New@123</t>
  </si>
  <si>
    <t xml:space="preserve">1. Logout successful
2. Old password doesn't work
3. New password works</t>
  </si>
  <si>
    <t xml:space="preserve">Password change and logout: no password change feature exists on demoblaze; this test case cannot be executed as the functionality is not implemented in the application</t>
  </si>
  <si>
    <t xml:space="preserve">Post-password-change logout</t>
  </si>
  <si>
    <t xml:space="preserve">TC_LO_039</t>
  </si>
  <si>
    <t xml:space="preserve">Verify logout with expired session</t>
  </si>
  <si>
    <t xml:space="preserve">1. Login to application
2. Wait for session to expire naturally
3. Click 'Log out'
4. Verify behavior</t>
  </si>
  <si>
    <t xml:space="preserve">1. Logout completes without error
2. Appropriate handling of expired session
3. Clean logout state</t>
  </si>
  <si>
    <t xml:space="preserve">Logout with expired session: no session timeout mechanism exists; sessions do not expire naturally; clicking 'Log out' always succeeds since it is a client-side operation regardless of server token state</t>
  </si>
  <si>
    <t xml:space="preserve">Expired session handling</t>
  </si>
  <si>
    <t xml:space="preserve">TC_LO_040</t>
  </si>
  <si>
    <t xml:space="preserve">Verify logout when server is down</t>
  </si>
  <si>
    <t xml:space="preserve">1. Login to application
2. Simulate server downtime
3. Click 'Log out'
4. Check behavior</t>
  </si>
  <si>
    <t xml:space="preserve">1. Client-side logout performed
2. Session cleared locally
3. Error message if server needed</t>
  </si>
  <si>
    <t xml:space="preserve">Logout when server is down: since logout is client-side only (no server call made), it works even when server is unreachable; localStorage cleared; navbar updates correctly; fully offline-capable logout</t>
  </si>
  <si>
    <t xml:space="preserve">Server error handling</t>
  </si>
  <si>
    <t xml:space="preserve">TC_LO_041</t>
  </si>
  <si>
    <t xml:space="preserve">Verify logout with network interruption</t>
  </si>
  <si>
    <t xml:space="preserve">1. Login to application
2. Disable network connection
3. Click 'Log out'
4. Check behavior</t>
  </si>
  <si>
    <t xml:space="preserve">1. Client-side logout attempted
2. User informed of network issue
3. Session cleared locally</t>
  </si>
  <si>
    <t xml:space="preserve">Logout with network interruption: as logout requires no network request, disabling network connection has no impact; logout completes successfully by clearing localStorage and updating the DOM</t>
  </si>
  <si>
    <t xml:space="preserve">Network failure handling</t>
  </si>
  <si>
    <t xml:space="preserve">TC_LO_042</t>
  </si>
  <si>
    <t xml:space="preserve">Verify logout with JavaScript disabled</t>
  </si>
  <si>
    <t xml:space="preserve">1. Disable JavaScript in browser
2. Login to application (if possible)
3. Try to logout</t>
  </si>
  <si>
    <t xml:space="preserve">Logout functionality available (if JS disabled support exists)</t>
  </si>
  <si>
    <t xml:space="preserve">Logout with JavaScript disabled: the entire demoblaze application depends on JavaScript for rendering and authentication; with JS disabled, login is not possible and the 'Log out' link cannot function; no fallback/server-side logout mechanism available</t>
  </si>
  <si>
    <t xml:space="preserve">JavaScript dependency</t>
  </si>
  <si>
    <t xml:space="preserve">TC_LO_043</t>
  </si>
  <si>
    <t xml:space="preserve">Verify logout with cookies disabled</t>
  </si>
  <si>
    <t xml:space="preserve">1. Disable cookies in browser
2. Login to application (if possible)
3. Try to logout</t>
  </si>
  <si>
    <t xml:space="preserve">Appropriate error OR logout based on session mechanism</t>
  </si>
  <si>
    <t xml:space="preserve">Logout with cookies disabled: localStorage is used as primary auth storage (not HTTP cookies); with cookies disabled, login still works via localStorage; logout also works via localStorage clear; minimal cookie dependency observed</t>
  </si>
  <si>
    <t xml:space="preserve">Cookie dependency</t>
  </si>
  <si>
    <t xml:space="preserve">TC_LO_044</t>
  </si>
  <si>
    <t xml:space="preserve">Verify double logout attempt</t>
  </si>
  <si>
    <t xml:space="preserve">1. Login to application
2. Click 'Log out'
3. Try to access logout URL again</t>
  </si>
  <si>
    <t xml:space="preserve">1. No error displayed
2. Already logged out message OR redirect to home
3. Graceful handling</t>
  </si>
  <si>
    <t xml:space="preserve">Double logout attempt (clicking Log out then trying logout URL again): after first logout, 'Log out' link is no longer visible; no error if logout state triggered again; idempotent behavior confirmed</t>
  </si>
  <si>
    <t xml:space="preserve">Idempotent logout</t>
  </si>
  <si>
    <t xml:space="preserve">TC_LO_045</t>
  </si>
  <si>
    <t xml:space="preserve">Verify logout link for very long username</t>
  </si>
  <si>
    <t xml:space="preserve">1. Create account with max length username
2. Login
3. Check 'Welcome username' display
4. Click 'Log out'</t>
  </si>
  <si>
    <t xml:space="preserve">Username: verylongusernameexample123456789
Password: Valid@123</t>
  </si>
  <si>
    <t xml:space="preserve">1. Username displayed properly (truncated if needed)
2. Logout works correctly</t>
  </si>
  <si>
    <t xml:space="preserve">Logout with very long username: logged in with a long username (e.g., 'verylongusernameexample123456789'); Welcome message shows truncated or wrapped username in navbar; clicking 'Log out' works correctly regardless of username length</t>
  </si>
  <si>
    <t xml:space="preserve">Long username handling</t>
  </si>
  <si>
    <t xml:space="preserve">TC_LO_046</t>
  </si>
  <si>
    <t xml:space="preserve">Verify logout via keyboard navigation</t>
  </si>
  <si>
    <t xml:space="preserve">1. Login to application
2. Use Tab key to navigate to 'Log out'
3. Press Enter to logout</t>
  </si>
  <si>
    <t xml:space="preserve">1. 'Log out' link reachable via keyboard
2. Enter key triggers logout
3. Keyboard navigation works correctly</t>
  </si>
  <si>
    <t xml:space="preserve">Keyboard navigation to 'Log out': Tab key navigates through navbar links including 'Log out'; pressing Enter on focused 'Log out' link triggers logout successfully; keyboard accessibility works for logout</t>
  </si>
  <si>
    <t xml:space="preserve">Keyboard accessibility</t>
  </si>
  <si>
    <t xml:space="preserve">TC_LO_047</t>
  </si>
  <si>
    <t xml:space="preserve">Verify logout link ARIA attributes</t>
  </si>
  <si>
    <t xml:space="preserve">1. Login to application
2. Inspect 'Log out' link
3. Check accessibility attributes</t>
  </si>
  <si>
    <t xml:space="preserve">1. Proper ARIA labels present
2. Screen reader compatible
3. Accessibility standards met</t>
  </si>
  <si>
    <t xml:space="preserve">'Log out' link ARIA attributes: inspecting the 'Log out' link element reveals NO aria-label, NO role attribute, and NO additional ARIA markup; relies solely on visible link text 'Log out' for accessibility; basic screen reader compatibility via link text only</t>
  </si>
  <si>
    <t xml:space="preserve">ARIA compliance</t>
  </si>
  <si>
    <t xml:space="preserve">TC_LO_048</t>
  </si>
  <si>
    <t xml:space="preserve">Verify logout with screen reader</t>
  </si>
  <si>
    <t xml:space="preserve">1. Enable screen reader
2. Login to application
3. Navigate to and activate 'Log out'</t>
  </si>
  <si>
    <t xml:space="preserve">1. Screen reader announces 'Log out' link
2. Logout action announced
3. State change communicated</t>
  </si>
  <si>
    <t xml:space="preserve">Screen reader compatibility for logout: screen reader (VoiceOver/TalkBack) announces 'Log out, link' when focused on the element; activation triggers logout and navbar change; state change (Welcome message removal) is not proactively announced to screen reader without focus change</t>
  </si>
  <si>
    <t xml:space="preserve">Screen reader support</t>
  </si>
  <si>
    <t xml:space="preserve">TC_LO_049</t>
  </si>
  <si>
    <t xml:space="preserve">Verify logout is logged in system</t>
  </si>
  <si>
    <t xml:space="preserve">1. Login to application
2. Click 'Log out'
3. Check server logs/audit trail</t>
  </si>
  <si>
    <t xml:space="preserve">1. Logout event recorded
2. Timestamp captured
3. User identifier logged</t>
  </si>
  <si>
    <t xml:space="preserve">Server-side audit trail for logout: no server-side logging or audit trail is accessible for verification; since logout is client-side only with no API call, no logout event is recorded on the server</t>
  </si>
  <si>
    <t xml:space="preserve">Audit trail validation</t>
  </si>
  <si>
    <t xml:space="preserve">TC_LO_050</t>
  </si>
  <si>
    <t xml:space="preserve">Verify logout analytics tracking</t>
  </si>
  <si>
    <t xml:space="preserve">1. Login to application
2. Click 'Log out'
3. Check analytics tool (if integrated)</t>
  </si>
  <si>
    <t xml:space="preserve">Logout event tracked in analytics system</t>
  </si>
  <si>
    <t xml:space="preserve">Analytics tracking on logout: no Google Analytics, GTM, or other analytics events observed firing on logout action; logout event is not tracked in any analytics system</t>
  </si>
  <si>
    <t xml:space="preserve">Analytics integration</t>
  </si>
  <si>
    <t xml:space="preserve">TEST SUMMARY</t>
  </si>
  <si>
    <t xml:space="preserve">Total Test Cases:</t>
  </si>
  <si>
    <t xml:space="preserve">P0 Test Cases:</t>
  </si>
  <si>
    <t xml:space="preserve">P1 Test Cases:</t>
  </si>
  <si>
    <t xml:space="preserve">P2 Test Cases:</t>
  </si>
  <si>
    <t xml:space="preserve">Not Executed:</t>
  </si>
  <si>
    <t xml:space="preserve">Passed:</t>
  </si>
  <si>
    <t xml:space="preserve">Failed:</t>
  </si>
  <si>
    <t xml:space="preserve">N/A:</t>
  </si>
  <si>
    <t xml:space="preserve">Pass Rate: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</si>
</sst>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name val="Cambria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5911"/>
        <bgColor rgb="FF993300"/>
      </patternFill>
    </fill>
    <fill>
      <patternFill patternType="solid">
        <fgColor rgb="FF90EE90"/>
        <bgColor rgb="FF98D8C8"/>
      </patternFill>
    </fill>
    <fill>
      <patternFill patternType="solid">
        <fgColor rgb="FFFF6B6B"/>
        <bgColor rgb="FFC65911"/>
      </patternFill>
    </fill>
    <fill>
      <patternFill patternType="solid">
        <fgColor rgb="FFFFD93D"/>
        <bgColor rgb="FFFFCC99"/>
      </patternFill>
    </fill>
    <fill>
      <patternFill patternType="solid">
        <fgColor rgb="FF98D8C8"/>
        <bgColor rgb="FF90EE9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8D8C8"/>
      <rgbColor rgb="FFFF99CC"/>
      <rgbColor rgb="FFCC99FF"/>
      <rgbColor rgb="FFFFCC99"/>
      <rgbColor rgb="FF4472C4"/>
      <rgbColor rgb="FF33CCCC"/>
      <rgbColor rgb="FF99CC00"/>
      <rgbColor rgb="FFFFD93D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5"/>
    <col collapsed="false" customWidth="true" hidden="false" outlineLevel="0" max="3" min="3" style="0" width="48"/>
    <col collapsed="false" customWidth="true" hidden="false" outlineLevel="0" max="4" min="4" style="0" width="30"/>
    <col collapsed="false" customWidth="true" hidden="false" outlineLevel="0" max="5" min="5" style="0" width="55"/>
    <col collapsed="false" customWidth="true" hidden="false" outlineLevel="0" max="6" min="6" style="0" width="75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15" hidden="false" customHeight="false" outlineLevel="0" collapsed="false">
      <c r="A3" s="1" t="s">
        <v>4</v>
      </c>
      <c r="B3" s="2" t="s">
        <v>5</v>
      </c>
    </row>
    <row r="4" customFormat="false" ht="15" hidden="false" customHeight="false" outlineLevel="0" collapsed="false">
      <c r="A4" s="1" t="s">
        <v>6</v>
      </c>
      <c r="B4" s="2" t="s">
        <v>7</v>
      </c>
    </row>
    <row r="5" customFormat="false" ht="15" hidden="false" customHeight="false" outlineLevel="0" collapsed="false">
      <c r="A5" s="1" t="s">
        <v>8</v>
      </c>
      <c r="B5" s="2" t="s">
        <v>9</v>
      </c>
    </row>
    <row r="6" customFormat="false" ht="15" hidden="false" customHeight="false" outlineLevel="0" collapsed="false">
      <c r="A6" s="1" t="s">
        <v>10</v>
      </c>
      <c r="B6" s="2" t="s">
        <v>11</v>
      </c>
    </row>
    <row r="7" customFormat="false" ht="15" hidden="false" customHeight="false" outlineLevel="0" collapsed="false">
      <c r="A7" s="3" t="s">
        <v>12</v>
      </c>
      <c r="B7" s="2" t="s">
        <v>13</v>
      </c>
    </row>
    <row r="9" customFormat="false" ht="15" hidden="false" customHeight="false" outlineLevel="0" collapsed="false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22</v>
      </c>
    </row>
    <row r="10" customFormat="false" ht="68.65" hidden="false" customHeight="false" outlineLevel="0" collapsed="false">
      <c r="A10" s="5" t="s">
        <v>23</v>
      </c>
      <c r="B10" s="5" t="s">
        <v>24</v>
      </c>
      <c r="C10" s="5" t="s">
        <v>25</v>
      </c>
      <c r="D10" s="5" t="s">
        <v>26</v>
      </c>
      <c r="E10" s="5" t="s">
        <v>27</v>
      </c>
      <c r="F10" s="5" t="s">
        <v>28</v>
      </c>
      <c r="G10" s="6" t="s">
        <v>29</v>
      </c>
      <c r="H10" s="7" t="s">
        <v>30</v>
      </c>
      <c r="I10" s="5" t="s">
        <v>31</v>
      </c>
    </row>
    <row r="11" customFormat="false" ht="55.2" hidden="false" customHeight="false" outlineLevel="0" collapsed="false">
      <c r="A11" s="5" t="s">
        <v>32</v>
      </c>
      <c r="B11" s="5" t="s">
        <v>33</v>
      </c>
      <c r="C11" s="5" t="s">
        <v>34</v>
      </c>
      <c r="D11" s="5" t="s">
        <v>26</v>
      </c>
      <c r="E11" s="5" t="s">
        <v>35</v>
      </c>
      <c r="F11" s="5" t="s">
        <v>36</v>
      </c>
      <c r="G11" s="6" t="s">
        <v>29</v>
      </c>
      <c r="H11" s="7" t="s">
        <v>30</v>
      </c>
      <c r="I11" s="5" t="s">
        <v>37</v>
      </c>
    </row>
    <row r="12" customFormat="false" ht="68.65" hidden="false" customHeight="false" outlineLevel="0" collapsed="false">
      <c r="A12" s="5" t="s">
        <v>38</v>
      </c>
      <c r="B12" s="5" t="s">
        <v>39</v>
      </c>
      <c r="C12" s="5" t="s">
        <v>40</v>
      </c>
      <c r="D12" s="5" t="s">
        <v>26</v>
      </c>
      <c r="E12" s="5" t="s">
        <v>41</v>
      </c>
      <c r="F12" s="5" t="s">
        <v>42</v>
      </c>
      <c r="G12" s="6" t="s">
        <v>29</v>
      </c>
      <c r="H12" s="7" t="s">
        <v>30</v>
      </c>
      <c r="I12" s="5" t="s">
        <v>43</v>
      </c>
    </row>
    <row r="13" customFormat="false" ht="55.2" hidden="false" customHeight="false" outlineLevel="0" collapsed="false">
      <c r="A13" s="5" t="s">
        <v>44</v>
      </c>
      <c r="B13" s="5" t="s">
        <v>45</v>
      </c>
      <c r="C13" s="5" t="s">
        <v>46</v>
      </c>
      <c r="D13" s="5" t="s">
        <v>26</v>
      </c>
      <c r="E13" s="5" t="s">
        <v>47</v>
      </c>
      <c r="F13" s="5" t="s">
        <v>48</v>
      </c>
      <c r="G13" s="6" t="s">
        <v>29</v>
      </c>
      <c r="H13" s="8" t="s">
        <v>49</v>
      </c>
      <c r="I13" s="5" t="s">
        <v>50</v>
      </c>
    </row>
    <row r="14" customFormat="false" ht="55.2" hidden="false" customHeight="false" outlineLevel="0" collapsed="false">
      <c r="A14" s="5" t="s">
        <v>51</v>
      </c>
      <c r="B14" s="5" t="s">
        <v>52</v>
      </c>
      <c r="C14" s="5" t="s">
        <v>53</v>
      </c>
      <c r="D14" s="5" t="s">
        <v>26</v>
      </c>
      <c r="E14" s="5" t="s">
        <v>54</v>
      </c>
      <c r="F14" s="5" t="s">
        <v>55</v>
      </c>
      <c r="G14" s="6" t="s">
        <v>29</v>
      </c>
      <c r="H14" s="8" t="s">
        <v>49</v>
      </c>
      <c r="I14" s="5" t="s">
        <v>56</v>
      </c>
    </row>
    <row r="15" customFormat="false" ht="55.2" hidden="false" customHeight="false" outlineLevel="0" collapsed="false">
      <c r="A15" s="5" t="s">
        <v>57</v>
      </c>
      <c r="B15" s="5" t="s">
        <v>58</v>
      </c>
      <c r="C15" s="5" t="s">
        <v>59</v>
      </c>
      <c r="D15" s="5" t="s">
        <v>26</v>
      </c>
      <c r="E15" s="5" t="s">
        <v>60</v>
      </c>
      <c r="F15" s="5" t="s">
        <v>61</v>
      </c>
      <c r="G15" s="9" t="s">
        <v>62</v>
      </c>
      <c r="H15" s="7" t="s">
        <v>30</v>
      </c>
      <c r="I15" s="5" t="s">
        <v>63</v>
      </c>
    </row>
    <row r="16" customFormat="false" ht="55.2" hidden="false" customHeight="false" outlineLevel="0" collapsed="false">
      <c r="A16" s="5" t="s">
        <v>64</v>
      </c>
      <c r="B16" s="5" t="s">
        <v>65</v>
      </c>
      <c r="C16" s="5" t="s">
        <v>66</v>
      </c>
      <c r="D16" s="5" t="s">
        <v>26</v>
      </c>
      <c r="E16" s="5" t="s">
        <v>67</v>
      </c>
      <c r="F16" s="5" t="s">
        <v>68</v>
      </c>
      <c r="G16" s="9" t="s">
        <v>62</v>
      </c>
      <c r="H16" s="7" t="s">
        <v>30</v>
      </c>
      <c r="I16" s="5" t="s">
        <v>69</v>
      </c>
    </row>
    <row r="17" customFormat="false" ht="55.2" hidden="false" customHeight="false" outlineLevel="0" collapsed="false">
      <c r="A17" s="5" t="s">
        <v>70</v>
      </c>
      <c r="B17" s="5" t="s">
        <v>71</v>
      </c>
      <c r="C17" s="5" t="s">
        <v>72</v>
      </c>
      <c r="D17" s="5" t="s">
        <v>26</v>
      </c>
      <c r="E17" s="5" t="s">
        <v>73</v>
      </c>
      <c r="F17" s="5" t="s">
        <v>74</v>
      </c>
      <c r="G17" s="6" t="s">
        <v>29</v>
      </c>
      <c r="H17" s="7" t="s">
        <v>30</v>
      </c>
      <c r="I17" s="5" t="s">
        <v>75</v>
      </c>
    </row>
    <row r="18" customFormat="false" ht="68.65" hidden="false" customHeight="false" outlineLevel="0" collapsed="false">
      <c r="A18" s="5" t="s">
        <v>76</v>
      </c>
      <c r="B18" s="5" t="s">
        <v>77</v>
      </c>
      <c r="C18" s="5" t="s">
        <v>78</v>
      </c>
      <c r="D18" s="5" t="s">
        <v>26</v>
      </c>
      <c r="E18" s="5" t="s">
        <v>79</v>
      </c>
      <c r="F18" s="5" t="s">
        <v>80</v>
      </c>
      <c r="G18" s="6" t="s">
        <v>29</v>
      </c>
      <c r="H18" s="8" t="s">
        <v>49</v>
      </c>
      <c r="I18" s="5" t="s">
        <v>81</v>
      </c>
    </row>
    <row r="19" customFormat="false" ht="55.2" hidden="false" customHeight="false" outlineLevel="0" collapsed="false">
      <c r="A19" s="5" t="s">
        <v>82</v>
      </c>
      <c r="B19" s="5" t="s">
        <v>83</v>
      </c>
      <c r="C19" s="5" t="s">
        <v>84</v>
      </c>
      <c r="D19" s="5" t="s">
        <v>85</v>
      </c>
      <c r="E19" s="5" t="s">
        <v>86</v>
      </c>
      <c r="F19" s="5" t="s">
        <v>87</v>
      </c>
      <c r="G19" s="6" t="s">
        <v>29</v>
      </c>
      <c r="H19" s="7" t="s">
        <v>30</v>
      </c>
      <c r="I19" s="5" t="s">
        <v>88</v>
      </c>
    </row>
    <row r="20" customFormat="false" ht="55.2" hidden="false" customHeight="false" outlineLevel="0" collapsed="false">
      <c r="A20" s="5" t="s">
        <v>89</v>
      </c>
      <c r="B20" s="5" t="s">
        <v>90</v>
      </c>
      <c r="C20" s="5" t="s">
        <v>91</v>
      </c>
      <c r="D20" s="5" t="s">
        <v>26</v>
      </c>
      <c r="E20" s="5" t="s">
        <v>92</v>
      </c>
      <c r="F20" s="5" t="s">
        <v>93</v>
      </c>
      <c r="G20" s="9" t="s">
        <v>62</v>
      </c>
      <c r="H20" s="7" t="s">
        <v>30</v>
      </c>
      <c r="I20" s="5" t="s">
        <v>94</v>
      </c>
    </row>
    <row r="21" customFormat="false" ht="41.75" hidden="false" customHeight="false" outlineLevel="0" collapsed="false">
      <c r="A21" s="5" t="s">
        <v>95</v>
      </c>
      <c r="B21" s="5" t="s">
        <v>96</v>
      </c>
      <c r="C21" s="5" t="s">
        <v>97</v>
      </c>
      <c r="D21" s="5" t="s">
        <v>26</v>
      </c>
      <c r="E21" s="5" t="s">
        <v>98</v>
      </c>
      <c r="F21" s="5" t="s">
        <v>99</v>
      </c>
      <c r="G21" s="9" t="s">
        <v>62</v>
      </c>
      <c r="H21" s="7" t="s">
        <v>30</v>
      </c>
      <c r="I21" s="5" t="s">
        <v>100</v>
      </c>
    </row>
    <row r="22" customFormat="false" ht="55.2" hidden="false" customHeight="false" outlineLevel="0" collapsed="false">
      <c r="A22" s="5" t="s">
        <v>101</v>
      </c>
      <c r="B22" s="5" t="s">
        <v>102</v>
      </c>
      <c r="C22" s="5" t="s">
        <v>103</v>
      </c>
      <c r="D22" s="5" t="s">
        <v>26</v>
      </c>
      <c r="E22" s="5" t="s">
        <v>104</v>
      </c>
      <c r="F22" s="5" t="s">
        <v>105</v>
      </c>
      <c r="G22" s="6" t="s">
        <v>29</v>
      </c>
      <c r="H22" s="7" t="s">
        <v>30</v>
      </c>
      <c r="I22" s="5" t="s">
        <v>106</v>
      </c>
    </row>
    <row r="23" customFormat="false" ht="55.2" hidden="false" customHeight="false" outlineLevel="0" collapsed="false">
      <c r="A23" s="5" t="s">
        <v>107</v>
      </c>
      <c r="B23" s="5" t="s">
        <v>108</v>
      </c>
      <c r="C23" s="5" t="s">
        <v>109</v>
      </c>
      <c r="D23" s="5" t="s">
        <v>26</v>
      </c>
      <c r="E23" s="5" t="s">
        <v>110</v>
      </c>
      <c r="F23" s="5" t="s">
        <v>111</v>
      </c>
      <c r="G23" s="9" t="s">
        <v>62</v>
      </c>
      <c r="H23" s="8" t="s">
        <v>49</v>
      </c>
      <c r="I23" s="5" t="s">
        <v>112</v>
      </c>
    </row>
    <row r="24" customFormat="false" ht="55.2" hidden="false" customHeight="false" outlineLevel="0" collapsed="false">
      <c r="A24" s="5" t="s">
        <v>113</v>
      </c>
      <c r="B24" s="5" t="s">
        <v>114</v>
      </c>
      <c r="C24" s="5" t="s">
        <v>115</v>
      </c>
      <c r="D24" s="5" t="s">
        <v>26</v>
      </c>
      <c r="E24" s="5" t="s">
        <v>116</v>
      </c>
      <c r="F24" s="5" t="s">
        <v>117</v>
      </c>
      <c r="G24" s="9" t="s">
        <v>62</v>
      </c>
      <c r="H24" s="7" t="s">
        <v>30</v>
      </c>
      <c r="I24" s="5" t="s">
        <v>118</v>
      </c>
    </row>
    <row r="25" customFormat="false" ht="41.75" hidden="false" customHeight="false" outlineLevel="0" collapsed="false">
      <c r="A25" s="5" t="s">
        <v>119</v>
      </c>
      <c r="B25" s="5" t="s">
        <v>120</v>
      </c>
      <c r="C25" s="5" t="s">
        <v>121</v>
      </c>
      <c r="D25" s="5" t="s">
        <v>26</v>
      </c>
      <c r="E25" s="5" t="s">
        <v>122</v>
      </c>
      <c r="F25" s="5" t="s">
        <v>123</v>
      </c>
      <c r="G25" s="6" t="s">
        <v>29</v>
      </c>
      <c r="H25" s="7" t="s">
        <v>30</v>
      </c>
      <c r="I25" s="5" t="s">
        <v>124</v>
      </c>
    </row>
    <row r="26" customFormat="false" ht="41.75" hidden="false" customHeight="false" outlineLevel="0" collapsed="false">
      <c r="A26" s="5" t="s">
        <v>125</v>
      </c>
      <c r="B26" s="5" t="s">
        <v>126</v>
      </c>
      <c r="C26" s="5" t="s">
        <v>127</v>
      </c>
      <c r="D26" s="5" t="s">
        <v>128</v>
      </c>
      <c r="E26" s="5" t="s">
        <v>129</v>
      </c>
      <c r="F26" s="5" t="s">
        <v>130</v>
      </c>
      <c r="G26" s="6" t="s">
        <v>29</v>
      </c>
      <c r="H26" s="7" t="s">
        <v>30</v>
      </c>
      <c r="I26" s="5" t="s">
        <v>131</v>
      </c>
    </row>
    <row r="27" customFormat="false" ht="41.75" hidden="false" customHeight="false" outlineLevel="0" collapsed="false">
      <c r="A27" s="5" t="s">
        <v>132</v>
      </c>
      <c r="B27" s="5" t="s">
        <v>133</v>
      </c>
      <c r="C27" s="5" t="s">
        <v>134</v>
      </c>
      <c r="D27" s="5" t="s">
        <v>135</v>
      </c>
      <c r="E27" s="5" t="s">
        <v>136</v>
      </c>
      <c r="F27" s="5" t="s">
        <v>137</v>
      </c>
      <c r="G27" s="6" t="s">
        <v>29</v>
      </c>
      <c r="H27" s="7" t="s">
        <v>30</v>
      </c>
      <c r="I27" s="5" t="s">
        <v>138</v>
      </c>
    </row>
    <row r="28" customFormat="false" ht="41.75" hidden="false" customHeight="false" outlineLevel="0" collapsed="false">
      <c r="A28" s="5" t="s">
        <v>139</v>
      </c>
      <c r="B28" s="5" t="s">
        <v>140</v>
      </c>
      <c r="C28" s="5" t="s">
        <v>141</v>
      </c>
      <c r="D28" s="5" t="s">
        <v>26</v>
      </c>
      <c r="E28" s="5" t="s">
        <v>142</v>
      </c>
      <c r="F28" s="5" t="s">
        <v>143</v>
      </c>
      <c r="G28" s="9" t="s">
        <v>62</v>
      </c>
      <c r="H28" s="10" t="s">
        <v>144</v>
      </c>
      <c r="I28" s="5" t="s">
        <v>145</v>
      </c>
    </row>
    <row r="29" customFormat="false" ht="41.75" hidden="false" customHeight="false" outlineLevel="0" collapsed="false">
      <c r="A29" s="5" t="s">
        <v>146</v>
      </c>
      <c r="B29" s="5" t="s">
        <v>147</v>
      </c>
      <c r="C29" s="5" t="s">
        <v>148</v>
      </c>
      <c r="D29" s="5" t="s">
        <v>26</v>
      </c>
      <c r="E29" s="5" t="s">
        <v>149</v>
      </c>
      <c r="F29" s="5" t="s">
        <v>150</v>
      </c>
      <c r="G29" s="9" t="s">
        <v>62</v>
      </c>
      <c r="H29" s="10" t="s">
        <v>144</v>
      </c>
      <c r="I29" s="5" t="s">
        <v>151</v>
      </c>
    </row>
    <row r="30" customFormat="false" ht="41.75" hidden="false" customHeight="false" outlineLevel="0" collapsed="false">
      <c r="A30" s="5" t="s">
        <v>152</v>
      </c>
      <c r="B30" s="5" t="s">
        <v>153</v>
      </c>
      <c r="C30" s="5" t="s">
        <v>154</v>
      </c>
      <c r="D30" s="5" t="s">
        <v>26</v>
      </c>
      <c r="E30" s="5" t="s">
        <v>155</v>
      </c>
      <c r="F30" s="5" t="s">
        <v>156</v>
      </c>
      <c r="G30" s="6" t="s">
        <v>29</v>
      </c>
      <c r="H30" s="10" t="s">
        <v>144</v>
      </c>
      <c r="I30" s="5" t="s">
        <v>157</v>
      </c>
    </row>
    <row r="31" customFormat="false" ht="55.2" hidden="false" customHeight="false" outlineLevel="0" collapsed="false">
      <c r="A31" s="5" t="s">
        <v>158</v>
      </c>
      <c r="B31" s="5" t="s">
        <v>159</v>
      </c>
      <c r="C31" s="5" t="s">
        <v>160</v>
      </c>
      <c r="D31" s="5" t="s">
        <v>26</v>
      </c>
      <c r="E31" s="5" t="s">
        <v>161</v>
      </c>
      <c r="F31" s="5" t="s">
        <v>162</v>
      </c>
      <c r="G31" s="6" t="s">
        <v>29</v>
      </c>
      <c r="H31" s="7" t="s">
        <v>30</v>
      </c>
      <c r="I31" s="5" t="s">
        <v>163</v>
      </c>
    </row>
    <row r="32" customFormat="false" ht="41.75" hidden="false" customHeight="false" outlineLevel="0" collapsed="false">
      <c r="A32" s="5" t="s">
        <v>164</v>
      </c>
      <c r="B32" s="5" t="s">
        <v>165</v>
      </c>
      <c r="C32" s="5" t="s">
        <v>166</v>
      </c>
      <c r="D32" s="5" t="s">
        <v>26</v>
      </c>
      <c r="E32" s="5" t="s">
        <v>167</v>
      </c>
      <c r="F32" s="5" t="s">
        <v>168</v>
      </c>
      <c r="G32" s="6" t="s">
        <v>29</v>
      </c>
      <c r="H32" s="7" t="s">
        <v>30</v>
      </c>
      <c r="I32" s="5" t="s">
        <v>169</v>
      </c>
    </row>
    <row r="33" customFormat="false" ht="41.75" hidden="false" customHeight="false" outlineLevel="0" collapsed="false">
      <c r="A33" s="5" t="s">
        <v>170</v>
      </c>
      <c r="B33" s="5" t="s">
        <v>171</v>
      </c>
      <c r="C33" s="5" t="s">
        <v>172</v>
      </c>
      <c r="D33" s="5" t="s">
        <v>26</v>
      </c>
      <c r="E33" s="5" t="s">
        <v>173</v>
      </c>
      <c r="F33" s="5" t="s">
        <v>174</v>
      </c>
      <c r="G33" s="6" t="s">
        <v>29</v>
      </c>
      <c r="H33" s="7" t="s">
        <v>30</v>
      </c>
      <c r="I33" s="5" t="s">
        <v>175</v>
      </c>
    </row>
    <row r="34" customFormat="false" ht="55.2" hidden="false" customHeight="false" outlineLevel="0" collapsed="false">
      <c r="A34" s="5" t="s">
        <v>176</v>
      </c>
      <c r="B34" s="5" t="s">
        <v>177</v>
      </c>
      <c r="C34" s="5" t="s">
        <v>178</v>
      </c>
      <c r="D34" s="5" t="s">
        <v>26</v>
      </c>
      <c r="E34" s="5" t="s">
        <v>179</v>
      </c>
      <c r="F34" s="5" t="s">
        <v>180</v>
      </c>
      <c r="G34" s="6" t="s">
        <v>29</v>
      </c>
      <c r="H34" s="8" t="s">
        <v>49</v>
      </c>
      <c r="I34" s="5" t="s">
        <v>181</v>
      </c>
    </row>
    <row r="35" customFormat="false" ht="55.2" hidden="false" customHeight="false" outlineLevel="0" collapsed="false">
      <c r="A35" s="5" t="s">
        <v>182</v>
      </c>
      <c r="B35" s="5" t="s">
        <v>183</v>
      </c>
      <c r="C35" s="5" t="s">
        <v>184</v>
      </c>
      <c r="D35" s="5" t="s">
        <v>185</v>
      </c>
      <c r="E35" s="5" t="s">
        <v>186</v>
      </c>
      <c r="F35" s="5" t="s">
        <v>187</v>
      </c>
      <c r="G35" s="6" t="s">
        <v>29</v>
      </c>
      <c r="H35" s="7" t="s">
        <v>30</v>
      </c>
      <c r="I35" s="5" t="s">
        <v>188</v>
      </c>
    </row>
    <row r="36" customFormat="false" ht="55.2" hidden="false" customHeight="false" outlineLevel="0" collapsed="false">
      <c r="A36" s="5" t="s">
        <v>189</v>
      </c>
      <c r="B36" s="5" t="s">
        <v>190</v>
      </c>
      <c r="C36" s="5" t="s">
        <v>191</v>
      </c>
      <c r="D36" s="5" t="s">
        <v>192</v>
      </c>
      <c r="E36" s="5" t="s">
        <v>193</v>
      </c>
      <c r="F36" s="5" t="s">
        <v>194</v>
      </c>
      <c r="G36" s="6" t="s">
        <v>29</v>
      </c>
      <c r="H36" s="7" t="s">
        <v>30</v>
      </c>
      <c r="I36" s="5" t="s">
        <v>195</v>
      </c>
    </row>
    <row r="37" customFormat="false" ht="55.2" hidden="false" customHeight="false" outlineLevel="0" collapsed="false">
      <c r="A37" s="5" t="s">
        <v>196</v>
      </c>
      <c r="B37" s="5" t="s">
        <v>197</v>
      </c>
      <c r="C37" s="5" t="s">
        <v>198</v>
      </c>
      <c r="D37" s="5" t="s">
        <v>199</v>
      </c>
      <c r="E37" s="5" t="s">
        <v>200</v>
      </c>
      <c r="F37" s="5" t="s">
        <v>201</v>
      </c>
      <c r="G37" s="6" t="s">
        <v>29</v>
      </c>
      <c r="H37" s="8" t="s">
        <v>49</v>
      </c>
      <c r="I37" s="5" t="s">
        <v>202</v>
      </c>
    </row>
    <row r="38" customFormat="false" ht="55.2" hidden="false" customHeight="false" outlineLevel="0" collapsed="false">
      <c r="A38" s="5" t="s">
        <v>203</v>
      </c>
      <c r="B38" s="5" t="s">
        <v>204</v>
      </c>
      <c r="C38" s="5" t="s">
        <v>205</v>
      </c>
      <c r="D38" s="5" t="s">
        <v>206</v>
      </c>
      <c r="E38" s="5" t="s">
        <v>207</v>
      </c>
      <c r="F38" s="5" t="s">
        <v>208</v>
      </c>
      <c r="G38" s="6" t="s">
        <v>29</v>
      </c>
      <c r="H38" s="8" t="s">
        <v>49</v>
      </c>
      <c r="I38" s="5" t="s">
        <v>209</v>
      </c>
    </row>
    <row r="39" customFormat="false" ht="41.75" hidden="false" customHeight="false" outlineLevel="0" collapsed="false">
      <c r="A39" s="5" t="s">
        <v>210</v>
      </c>
      <c r="B39" s="5" t="s">
        <v>211</v>
      </c>
      <c r="C39" s="5" t="s">
        <v>212</v>
      </c>
      <c r="D39" s="5" t="s">
        <v>213</v>
      </c>
      <c r="E39" s="5" t="s">
        <v>214</v>
      </c>
      <c r="F39" s="5" t="s">
        <v>215</v>
      </c>
      <c r="G39" s="6" t="s">
        <v>29</v>
      </c>
      <c r="H39" s="7" t="s">
        <v>30</v>
      </c>
      <c r="I39" s="5" t="s">
        <v>216</v>
      </c>
    </row>
    <row r="40" customFormat="false" ht="41.75" hidden="false" customHeight="false" outlineLevel="0" collapsed="false">
      <c r="A40" s="5" t="s">
        <v>217</v>
      </c>
      <c r="B40" s="5" t="s">
        <v>218</v>
      </c>
      <c r="C40" s="5" t="s">
        <v>219</v>
      </c>
      <c r="D40" s="5" t="s">
        <v>220</v>
      </c>
      <c r="E40" s="5" t="s">
        <v>221</v>
      </c>
      <c r="F40" s="5" t="s">
        <v>222</v>
      </c>
      <c r="G40" s="6" t="s">
        <v>29</v>
      </c>
      <c r="H40" s="8" t="s">
        <v>49</v>
      </c>
      <c r="I40" s="5" t="s">
        <v>223</v>
      </c>
    </row>
    <row r="41" customFormat="false" ht="41.75" hidden="false" customHeight="false" outlineLevel="0" collapsed="false">
      <c r="A41" s="5" t="s">
        <v>224</v>
      </c>
      <c r="B41" s="5" t="s">
        <v>225</v>
      </c>
      <c r="C41" s="5" t="s">
        <v>226</v>
      </c>
      <c r="D41" s="5" t="s">
        <v>227</v>
      </c>
      <c r="E41" s="5" t="s">
        <v>228</v>
      </c>
      <c r="F41" s="5" t="s">
        <v>229</v>
      </c>
      <c r="G41" s="6" t="s">
        <v>29</v>
      </c>
      <c r="H41" s="7" t="s">
        <v>30</v>
      </c>
      <c r="I41" s="5" t="s">
        <v>230</v>
      </c>
    </row>
    <row r="42" customFormat="false" ht="41.75" hidden="false" customHeight="false" outlineLevel="0" collapsed="false">
      <c r="A42" s="5" t="s">
        <v>231</v>
      </c>
      <c r="B42" s="5" t="s">
        <v>232</v>
      </c>
      <c r="C42" s="5" t="s">
        <v>233</v>
      </c>
      <c r="D42" s="5" t="s">
        <v>234</v>
      </c>
      <c r="E42" s="5" t="s">
        <v>235</v>
      </c>
      <c r="F42" s="5" t="s">
        <v>236</v>
      </c>
      <c r="G42" s="6" t="s">
        <v>29</v>
      </c>
      <c r="H42" s="8" t="s">
        <v>49</v>
      </c>
      <c r="I42" s="5" t="s">
        <v>237</v>
      </c>
    </row>
    <row r="43" customFormat="false" ht="41.75" hidden="false" customHeight="false" outlineLevel="0" collapsed="false">
      <c r="A43" s="5" t="s">
        <v>238</v>
      </c>
      <c r="B43" s="5" t="s">
        <v>239</v>
      </c>
      <c r="C43" s="5" t="s">
        <v>240</v>
      </c>
      <c r="D43" s="5" t="s">
        <v>26</v>
      </c>
      <c r="E43" s="5" t="s">
        <v>241</v>
      </c>
      <c r="F43" s="5" t="s">
        <v>242</v>
      </c>
      <c r="G43" s="6" t="s">
        <v>29</v>
      </c>
      <c r="H43" s="8" t="s">
        <v>49</v>
      </c>
      <c r="I43" s="5" t="s">
        <v>243</v>
      </c>
    </row>
    <row r="44" customFormat="false" ht="55.2" hidden="false" customHeight="false" outlineLevel="0" collapsed="false">
      <c r="A44" s="5" t="s">
        <v>244</v>
      </c>
      <c r="B44" s="5" t="s">
        <v>245</v>
      </c>
      <c r="C44" s="5" t="s">
        <v>246</v>
      </c>
      <c r="D44" s="5" t="s">
        <v>26</v>
      </c>
      <c r="E44" s="5" t="s">
        <v>247</v>
      </c>
      <c r="F44" s="5" t="s">
        <v>248</v>
      </c>
      <c r="G44" s="6" t="s">
        <v>29</v>
      </c>
      <c r="H44" s="8" t="s">
        <v>49</v>
      </c>
      <c r="I44" s="5" t="s">
        <v>249</v>
      </c>
    </row>
    <row r="45" customFormat="false" ht="55.2" hidden="false" customHeight="false" outlineLevel="0" collapsed="false">
      <c r="A45" s="5" t="s">
        <v>250</v>
      </c>
      <c r="B45" s="5" t="s">
        <v>251</v>
      </c>
      <c r="C45" s="5" t="s">
        <v>252</v>
      </c>
      <c r="D45" s="5" t="s">
        <v>26</v>
      </c>
      <c r="E45" s="5" t="s">
        <v>253</v>
      </c>
      <c r="F45" s="5" t="s">
        <v>254</v>
      </c>
      <c r="G45" s="6" t="s">
        <v>29</v>
      </c>
      <c r="H45" s="7" t="s">
        <v>30</v>
      </c>
      <c r="I45" s="5" t="s">
        <v>255</v>
      </c>
    </row>
    <row r="46" customFormat="false" ht="68.65" hidden="false" customHeight="false" outlineLevel="0" collapsed="false">
      <c r="A46" s="5" t="s">
        <v>256</v>
      </c>
      <c r="B46" s="5" t="s">
        <v>257</v>
      </c>
      <c r="C46" s="5" t="s">
        <v>258</v>
      </c>
      <c r="D46" s="5" t="s">
        <v>26</v>
      </c>
      <c r="E46" s="5" t="s">
        <v>259</v>
      </c>
      <c r="F46" s="5" t="s">
        <v>260</v>
      </c>
      <c r="G46" s="6" t="s">
        <v>29</v>
      </c>
      <c r="H46" s="8" t="s">
        <v>49</v>
      </c>
      <c r="I46" s="5" t="s">
        <v>261</v>
      </c>
    </row>
    <row r="47" customFormat="false" ht="55.2" hidden="false" customHeight="false" outlineLevel="0" collapsed="false">
      <c r="A47" s="5" t="s">
        <v>262</v>
      </c>
      <c r="B47" s="5" t="s">
        <v>263</v>
      </c>
      <c r="C47" s="5" t="s">
        <v>264</v>
      </c>
      <c r="D47" s="5" t="s">
        <v>265</v>
      </c>
      <c r="E47" s="5" t="s">
        <v>266</v>
      </c>
      <c r="F47" s="5" t="s">
        <v>267</v>
      </c>
      <c r="G47" s="11" t="s">
        <v>128</v>
      </c>
      <c r="H47" s="8" t="s">
        <v>49</v>
      </c>
      <c r="I47" s="5" t="s">
        <v>268</v>
      </c>
    </row>
    <row r="48" customFormat="false" ht="55.2" hidden="false" customHeight="false" outlineLevel="0" collapsed="false">
      <c r="A48" s="5" t="s">
        <v>269</v>
      </c>
      <c r="B48" s="5" t="s">
        <v>270</v>
      </c>
      <c r="C48" s="5" t="s">
        <v>271</v>
      </c>
      <c r="D48" s="5" t="s">
        <v>26</v>
      </c>
      <c r="E48" s="5" t="s">
        <v>272</v>
      </c>
      <c r="F48" s="5" t="s">
        <v>273</v>
      </c>
      <c r="G48" s="6" t="s">
        <v>29</v>
      </c>
      <c r="H48" s="8" t="s">
        <v>49</v>
      </c>
      <c r="I48" s="5" t="s">
        <v>274</v>
      </c>
    </row>
    <row r="49" customFormat="false" ht="55.2" hidden="false" customHeight="false" outlineLevel="0" collapsed="false">
      <c r="A49" s="5" t="s">
        <v>275</v>
      </c>
      <c r="B49" s="5" t="s">
        <v>276</v>
      </c>
      <c r="C49" s="5" t="s">
        <v>277</v>
      </c>
      <c r="D49" s="5" t="s">
        <v>26</v>
      </c>
      <c r="E49" s="5" t="s">
        <v>278</v>
      </c>
      <c r="F49" s="5" t="s">
        <v>279</v>
      </c>
      <c r="G49" s="6" t="s">
        <v>29</v>
      </c>
      <c r="H49" s="8" t="s">
        <v>49</v>
      </c>
      <c r="I49" s="5" t="s">
        <v>280</v>
      </c>
    </row>
    <row r="50" customFormat="false" ht="55.2" hidden="false" customHeight="false" outlineLevel="0" collapsed="false">
      <c r="A50" s="5" t="s">
        <v>281</v>
      </c>
      <c r="B50" s="5" t="s">
        <v>282</v>
      </c>
      <c r="C50" s="5" t="s">
        <v>283</v>
      </c>
      <c r="D50" s="5" t="s">
        <v>26</v>
      </c>
      <c r="E50" s="5" t="s">
        <v>284</v>
      </c>
      <c r="F50" s="5" t="s">
        <v>285</v>
      </c>
      <c r="G50" s="6" t="s">
        <v>29</v>
      </c>
      <c r="H50" s="8" t="s">
        <v>49</v>
      </c>
      <c r="I50" s="5" t="s">
        <v>286</v>
      </c>
    </row>
    <row r="51" customFormat="false" ht="41.75" hidden="false" customHeight="false" outlineLevel="0" collapsed="false">
      <c r="A51" s="5" t="s">
        <v>287</v>
      </c>
      <c r="B51" s="5" t="s">
        <v>288</v>
      </c>
      <c r="C51" s="5" t="s">
        <v>289</v>
      </c>
      <c r="D51" s="5" t="s">
        <v>26</v>
      </c>
      <c r="E51" s="5" t="s">
        <v>290</v>
      </c>
      <c r="F51" s="5" t="s">
        <v>291</v>
      </c>
      <c r="G51" s="9" t="s">
        <v>62</v>
      </c>
      <c r="H51" s="10" t="s">
        <v>144</v>
      </c>
      <c r="I51" s="5" t="s">
        <v>292</v>
      </c>
    </row>
    <row r="52" customFormat="false" ht="41.75" hidden="false" customHeight="false" outlineLevel="0" collapsed="false">
      <c r="A52" s="5" t="s">
        <v>293</v>
      </c>
      <c r="B52" s="5" t="s">
        <v>294</v>
      </c>
      <c r="C52" s="5" t="s">
        <v>295</v>
      </c>
      <c r="D52" s="5" t="s">
        <v>26</v>
      </c>
      <c r="E52" s="5" t="s">
        <v>296</v>
      </c>
      <c r="F52" s="5" t="s">
        <v>297</v>
      </c>
      <c r="G52" s="6" t="s">
        <v>29</v>
      </c>
      <c r="H52" s="10" t="s">
        <v>144</v>
      </c>
      <c r="I52" s="5" t="s">
        <v>298</v>
      </c>
    </row>
    <row r="53" customFormat="false" ht="41.75" hidden="false" customHeight="false" outlineLevel="0" collapsed="false">
      <c r="A53" s="5" t="s">
        <v>299</v>
      </c>
      <c r="B53" s="5" t="s">
        <v>300</v>
      </c>
      <c r="C53" s="5" t="s">
        <v>301</v>
      </c>
      <c r="D53" s="5" t="s">
        <v>26</v>
      </c>
      <c r="E53" s="5" t="s">
        <v>302</v>
      </c>
      <c r="F53" s="5" t="s">
        <v>303</v>
      </c>
      <c r="G53" s="6" t="s">
        <v>29</v>
      </c>
      <c r="H53" s="8" t="s">
        <v>49</v>
      </c>
      <c r="I53" s="5" t="s">
        <v>304</v>
      </c>
    </row>
    <row r="54" customFormat="false" ht="55.2" hidden="false" customHeight="false" outlineLevel="0" collapsed="false">
      <c r="A54" s="5" t="s">
        <v>305</v>
      </c>
      <c r="B54" s="5" t="s">
        <v>306</v>
      </c>
      <c r="C54" s="5" t="s">
        <v>307</v>
      </c>
      <c r="D54" s="5" t="s">
        <v>308</v>
      </c>
      <c r="E54" s="5" t="s">
        <v>309</v>
      </c>
      <c r="F54" s="5" t="s">
        <v>310</v>
      </c>
      <c r="G54" s="6" t="s">
        <v>29</v>
      </c>
      <c r="H54" s="10" t="s">
        <v>144</v>
      </c>
      <c r="I54" s="5" t="s">
        <v>311</v>
      </c>
    </row>
    <row r="55" customFormat="false" ht="41.75" hidden="false" customHeight="false" outlineLevel="0" collapsed="false">
      <c r="A55" s="5" t="s">
        <v>312</v>
      </c>
      <c r="B55" s="5" t="s">
        <v>313</v>
      </c>
      <c r="C55" s="5" t="s">
        <v>314</v>
      </c>
      <c r="D55" s="5" t="s">
        <v>26</v>
      </c>
      <c r="E55" s="5" t="s">
        <v>315</v>
      </c>
      <c r="F55" s="5" t="s">
        <v>316</v>
      </c>
      <c r="G55" s="6" t="s">
        <v>29</v>
      </c>
      <c r="H55" s="8" t="s">
        <v>49</v>
      </c>
      <c r="I55" s="5" t="s">
        <v>317</v>
      </c>
    </row>
    <row r="56" customFormat="false" ht="41.75" hidden="false" customHeight="false" outlineLevel="0" collapsed="false">
      <c r="A56" s="5" t="s">
        <v>318</v>
      </c>
      <c r="B56" s="5" t="s">
        <v>319</v>
      </c>
      <c r="C56" s="5" t="s">
        <v>320</v>
      </c>
      <c r="D56" s="5" t="s">
        <v>26</v>
      </c>
      <c r="E56" s="5" t="s">
        <v>321</v>
      </c>
      <c r="F56" s="5" t="s">
        <v>322</v>
      </c>
      <c r="G56" s="9" t="s">
        <v>62</v>
      </c>
      <c r="H56" s="10" t="s">
        <v>144</v>
      </c>
      <c r="I56" s="5" t="s">
        <v>323</v>
      </c>
    </row>
    <row r="57" customFormat="false" ht="55.2" hidden="false" customHeight="false" outlineLevel="0" collapsed="false">
      <c r="A57" s="5" t="s">
        <v>324</v>
      </c>
      <c r="B57" s="5" t="s">
        <v>325</v>
      </c>
      <c r="C57" s="5" t="s">
        <v>326</v>
      </c>
      <c r="D57" s="5" t="s">
        <v>26</v>
      </c>
      <c r="E57" s="5" t="s">
        <v>327</v>
      </c>
      <c r="F57" s="5" t="s">
        <v>328</v>
      </c>
      <c r="G57" s="6" t="s">
        <v>29</v>
      </c>
      <c r="H57" s="10" t="s">
        <v>144</v>
      </c>
      <c r="I57" s="5" t="s">
        <v>329</v>
      </c>
    </row>
    <row r="58" customFormat="false" ht="41.75" hidden="false" customHeight="false" outlineLevel="0" collapsed="false">
      <c r="A58" s="5" t="s">
        <v>330</v>
      </c>
      <c r="B58" s="5" t="s">
        <v>331</v>
      </c>
      <c r="C58" s="5" t="s">
        <v>332</v>
      </c>
      <c r="D58" s="5" t="s">
        <v>26</v>
      </c>
      <c r="E58" s="5" t="s">
        <v>333</v>
      </c>
      <c r="F58" s="5" t="s">
        <v>334</v>
      </c>
      <c r="G58" s="9" t="s">
        <v>62</v>
      </c>
      <c r="H58" s="8" t="s">
        <v>49</v>
      </c>
      <c r="I58" s="5" t="s">
        <v>335</v>
      </c>
    </row>
    <row r="59" customFormat="false" ht="41.75" hidden="false" customHeight="false" outlineLevel="0" collapsed="false">
      <c r="A59" s="5" t="s">
        <v>336</v>
      </c>
      <c r="B59" s="5" t="s">
        <v>337</v>
      </c>
      <c r="C59" s="5" t="s">
        <v>338</v>
      </c>
      <c r="D59" s="5" t="s">
        <v>26</v>
      </c>
      <c r="E59" s="5" t="s">
        <v>339</v>
      </c>
      <c r="F59" s="5" t="s">
        <v>340</v>
      </c>
      <c r="G59" s="9" t="s">
        <v>62</v>
      </c>
      <c r="H59" s="10" t="s">
        <v>144</v>
      </c>
      <c r="I59" s="5" t="s">
        <v>341</v>
      </c>
    </row>
    <row r="62" customFormat="false" ht="15" hidden="false" customHeight="false" outlineLevel="0" collapsed="false">
      <c r="A62" s="12" t="s">
        <v>342</v>
      </c>
      <c r="B62" s="12"/>
      <c r="C62" s="12"/>
    </row>
    <row r="63" customFormat="false" ht="15" hidden="false" customHeight="false" outlineLevel="0" collapsed="false">
      <c r="A63" s="13" t="s">
        <v>343</v>
      </c>
      <c r="B63" s="14" t="n">
        <f aca="false">COUNTA(A10:A59)</f>
        <v>50</v>
      </c>
    </row>
    <row r="64" customFormat="false" ht="15" hidden="false" customHeight="false" outlineLevel="0" collapsed="false">
      <c r="A64" s="13" t="s">
        <v>344</v>
      </c>
      <c r="B64" s="14" t="n">
        <f aca="false">COUNTIF(H10:H59,"P0")</f>
        <v>22</v>
      </c>
    </row>
    <row r="65" customFormat="false" ht="15" hidden="false" customHeight="false" outlineLevel="0" collapsed="false">
      <c r="A65" s="13" t="s">
        <v>345</v>
      </c>
      <c r="B65" s="14" t="n">
        <f aca="false">COUNTIF(H10:H59,"P1")</f>
        <v>19</v>
      </c>
    </row>
    <row r="66" customFormat="false" ht="15" hidden="false" customHeight="false" outlineLevel="0" collapsed="false">
      <c r="A66" s="13" t="s">
        <v>346</v>
      </c>
      <c r="B66" s="14" t="n">
        <f aca="false">COUNTIF(H10:H59,"P2")</f>
        <v>9</v>
      </c>
    </row>
    <row r="67" customFormat="false" ht="15" hidden="false" customHeight="false" outlineLevel="0" collapsed="false">
      <c r="A67" s="13" t="s">
        <v>347</v>
      </c>
      <c r="B67" s="15" t="n">
        <f aca="false">COUNTIF(G10:G59,"Not Executed")</f>
        <v>0</v>
      </c>
    </row>
    <row r="68" customFormat="false" ht="15" hidden="false" customHeight="false" outlineLevel="0" collapsed="false">
      <c r="A68" s="13" t="s">
        <v>348</v>
      </c>
      <c r="B68" s="16" t="n">
        <f aca="false">COUNTIF(G10:G59,"Pass")</f>
        <v>37</v>
      </c>
    </row>
    <row r="69" customFormat="false" ht="15" hidden="false" customHeight="false" outlineLevel="0" collapsed="false">
      <c r="A69" s="13" t="s">
        <v>349</v>
      </c>
      <c r="B69" s="17" t="n">
        <f aca="false">COUNTIF(G10:G59,"Fail")</f>
        <v>12</v>
      </c>
    </row>
    <row r="70" customFormat="false" ht="15" hidden="false" customHeight="false" outlineLevel="0" collapsed="false">
      <c r="A70" s="13" t="s">
        <v>350</v>
      </c>
      <c r="B70" s="15" t="n">
        <f aca="false">COUNTIF(G10:G59,"N/A")</f>
        <v>1</v>
      </c>
    </row>
    <row r="71" customFormat="false" ht="15" hidden="false" customHeight="false" outlineLevel="0" collapsed="false">
      <c r="A71" s="13" t="s">
        <v>351</v>
      </c>
      <c r="B71" s="0" t="str">
        <f aca="false">ROUND(B68/(B63-B70)*100,1)&amp;"%"</f>
        <v>75.5%</v>
      </c>
    </row>
  </sheetData>
  <mergeCells count="1">
    <mergeCell ref="A62:C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2026-03-08T16:35:50Z</dcterms:created>
  <dc:creator>openpyxl</dc:creator>
  <dc:description/>
  <dc:language>en-US</dc:language>
  <cp:lastModifiedBy/>
  <dcterms:modified xsi:type="dcterms:W3CDTF">2026-03-12T06:07:00Z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