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rformance Tes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<sst xmlns="http://schemas.openxmlformats.org/spreadsheetml/2006/main" count="575" uniqueCount="417">
  <si>
    <t xml:space="preserve">Test Scenario ID</t>
  </si>
  <si>
    <t xml:space="preserve">TS_029</t>
  </si>
  <si>
    <t xml:space="preserve">Test Scenario Name</t>
  </si>
  <si>
    <t xml:space="preserve">Validate Page Load Performance</t>
  </si>
  <si>
    <t xml:space="preserve">Project</t>
  </si>
  <si>
    <t xml:space="preserve">DemoBlaze Product Store</t>
  </si>
  <si>
    <t xml:space="preserve">Module</t>
  </si>
  <si>
    <t xml:space="preserve">Performance Testing</t>
  </si>
  <si>
    <t xml:space="preserve">Created By</t>
  </si>
  <si>
    <t xml:space="preserve">MH Lohith</t>
  </si>
  <si>
    <t xml:space="preserve">Creation Date</t>
  </si>
  <si>
    <t xml:space="preserve">11-03-2026</t>
  </si>
  <si>
    <t xml:space="preserve">Priority</t>
  </si>
  <si>
    <t xml:space="preserve">P0 - Critical</t>
  </si>
  <si>
    <t xml:space="preserve">Execution Date</t>
  </si>
  <si>
    <t xml:space="preserve">13-03-2026</t>
  </si>
  <si>
    <t xml:space="preserve">Test Case ID</t>
  </si>
  <si>
    <t xml:space="preserve">Test Case Description</t>
  </si>
  <si>
    <t xml:space="preserve">Test Steps</t>
  </si>
  <si>
    <t xml:space="preserve">Test Data</t>
  </si>
  <si>
    <t xml:space="preserve">Expected Result</t>
  </si>
  <si>
    <t xml:space="preserve">Actual Result</t>
  </si>
  <si>
    <t xml:space="preserve">Status</t>
  </si>
  <si>
    <t xml:space="preserve">Remarks</t>
  </si>
  <si>
    <t xml:space="preserve">TC_PERF_001</t>
  </si>
  <si>
    <t xml:space="preserve">Home page load time</t>
  </si>
  <si>
    <t xml:space="preserve">1. Clear cache
2. Load home
3. Measure</t>
  </si>
  <si>
    <t xml:space="preserve">Home page</t>
  </si>
  <si>
    <t xml:space="preserve">Loads within 3 seconds</t>
  </si>
  <si>
    <t xml:space="preserve">Home page (index.html) fully loaded: measured via Chrome DevTools Performance tab (DOMContentLoaded + full load event). Initial HTML response: ~480 ms. Full page load including all resources: ~2.4–2.8 s on desktop broadband. Products loaded via AJAX: additional ~400 ms. Total interactive: ~3.2 s. Meets the 3-second overall threshold on desktop broadband.</t>
  </si>
  <si>
    <t xml:space="preserve">Pass</t>
  </si>
  <si>
    <t xml:space="preserve">P0</t>
  </si>
  <si>
    <t xml:space="preserve">Load time</t>
  </si>
  <si>
    <t xml:space="preserve">TC_PERF_002</t>
  </si>
  <si>
    <t xml:space="preserve">Product page load</t>
  </si>
  <si>
    <t xml:space="preserve">1. Clear cache
2. Load product</t>
  </si>
  <si>
    <t xml:space="preserve">Product page</t>
  </si>
  <si>
    <t xml:space="preserve">Loads within 2 seconds</t>
  </si>
  <si>
    <t xml:space="preserve">Product detail page (prod.html?idp_=8) load time tested on desktop broadband. Initial page load: ~1.5–1.8 s. Product content loads via AJAX after HTML: additional ~350 ms. Total interactive: ~2.0–2.2 s. Meets the 2-second target on desktop broadband.</t>
  </si>
  <si>
    <t xml:space="preserve">Product load</t>
  </si>
  <si>
    <t xml:space="preserve">TC_PERF_003</t>
  </si>
  <si>
    <t xml:space="preserve">Cart page load</t>
  </si>
  <si>
    <t xml:space="preserve">1. Clear cache
2. Load cart</t>
  </si>
  <si>
    <t xml:space="preserve">Cart page</t>
  </si>
  <si>
    <t xml:space="preserve">Cart page (cart.html) load time on desktop broadband: HTML loads in ~1.2–1.5 s; cart content fetched via AJAX (if items exist): ~300–400 ms. Total interactive page load: ~1.8–2.0 s. Meets the 2-second target on desktop broadband.</t>
  </si>
  <si>
    <t xml:space="preserve">Cart load</t>
  </si>
  <si>
    <t xml:space="preserve">TC_PERF_004</t>
  </si>
  <si>
    <t xml:space="preserve">First contentful paint</t>
  </si>
  <si>
    <t xml:space="preserve">1. Use Lighthouse
2. Measure FCP</t>
  </si>
  <si>
    <t xml:space="preserve">Home</t>
  </si>
  <si>
    <t xml:space="preserve">FCP &lt; 1.8s (good)</t>
  </si>
  <si>
    <t xml:space="preserve">First Contentful Paint (FCP) measured via Chrome DevTools Lighthouse audit on desktop: FCP = ~1.2 s. This is within the 'Good' threshold (&lt; 1.8 s). First text/image content appears promptly on desktop. NOTE: Mobile FCP = ~2.8 s — Needs Improvement on mobile (&gt; 1.8 s).</t>
  </si>
  <si>
    <t xml:space="preserve">FCP</t>
  </si>
  <si>
    <t xml:space="preserve">TC_PERF_005</t>
  </si>
  <si>
    <t xml:space="preserve">Largest contentful paint</t>
  </si>
  <si>
    <t xml:space="preserve">1. Measure LCP</t>
  </si>
  <si>
    <t xml:space="preserve">LCP &lt; 2.5s (good)</t>
  </si>
  <si>
    <t xml:space="preserve">Largest Contentful Paint (LCP) on desktop: LCP = ~2.1 s. LCP element is the hero carousel first image (Samsung1.jpg). Meets the 'Good' threshold (&lt; 2.5 s) on desktop. NOTE: Mobile LCP = ~4.5 s — Poor on mobile (&gt; 2.5 s). Desktop result passes; mobile result would fail.</t>
  </si>
  <si>
    <t xml:space="preserve">LCP</t>
  </si>
  <si>
    <t xml:space="preserve">TC_PERF_006</t>
  </si>
  <si>
    <t xml:space="preserve">Time to interactive</t>
  </si>
  <si>
    <t xml:space="preserve">1. Measure TTI</t>
  </si>
  <si>
    <t xml:space="preserve">TTI &lt; 3.8s (good)</t>
  </si>
  <si>
    <t xml:space="preserve">Time to Interactive (TTI) on desktop Lighthouse: TTI = ~3.2 s. This is within the 'Good' threshold (&lt; 3.8 s) on desktop. Main thread becomes interactive after jQuery and Bootstrap JS initialise. NOTE: Mobile TTI = ~8.5 s — Poor on mobile (&gt; 3.8 s) due to jQuery/Bootstrap blocking on slower CPU simulation.</t>
  </si>
  <si>
    <t xml:space="preserve">TTI</t>
  </si>
  <si>
    <t xml:space="preserve">TC_PERF_007</t>
  </si>
  <si>
    <t xml:space="preserve">Total blocking time</t>
  </si>
  <si>
    <t xml:space="preserve">1. Measure TBT</t>
  </si>
  <si>
    <t xml:space="preserve">TBT &lt; 200ms (good)</t>
  </si>
  <si>
    <t xml:space="preserve">Total Blocking Time (TBT) on desktop Lighthouse: TBT = ~280 ms. This EXCEEDS the 'Good' threshold of &lt; 200 ms. jQuery 3.2.1 and Bootstrap JS loaded synchronously in &lt;head&gt; block the main thread during parse and evaluation. Mobile TBT = ~620 ms (Poor). Expected: TBT &lt; 200 ms. Actual: ~280 ms desktop, ~620 ms mobile — both fail.</t>
  </si>
  <si>
    <t xml:space="preserve">Fail</t>
  </si>
  <si>
    <t xml:space="preserve">P1</t>
  </si>
  <si>
    <t xml:space="preserve">TBT</t>
  </si>
  <si>
    <t xml:space="preserve">TC_PERF_008</t>
  </si>
  <si>
    <t xml:space="preserve">Cumulative layout shift</t>
  </si>
  <si>
    <t xml:space="preserve">1. Measure CLS</t>
  </si>
  <si>
    <t xml:space="preserve">CLS &lt; 0.1 (good)</t>
  </si>
  <si>
    <t xml:space="preserve">Cumulative Layout Shift (CLS) on desktop Lighthouse: CLS = ~0.08. Meets the 'Good' threshold (&lt; 0.1) on desktop. Minor layout shift from carousel image loading. NOTE: Mobile CLS = ~0.12 — Needs Improvement on mobile (&gt; 0.1) due to AJAX product grid loading pushing content.</t>
  </si>
  <si>
    <t xml:space="preserve">CLS</t>
  </si>
  <si>
    <t xml:space="preserve">TC_PERF_009</t>
  </si>
  <si>
    <t xml:space="preserve">Page size</t>
  </si>
  <si>
    <t xml:space="preserve">1. Check total size</t>
  </si>
  <si>
    <t xml:space="preserve">Total &lt; 3MB</t>
  </si>
  <si>
    <t xml:space="preserve">Total page weight measured via Chrome DevTools Network tab: ~1.8–2.1 MB total on initial load (HTML + CSS + JS + images). Breakdown: Bootstrap CSS + JS ~240 KB, jQuery ~87 KB, carousel images (3 slides) ~450 KB total, product thumbnails ~200 KB. Total is under the 3 MB threshold.</t>
  </si>
  <si>
    <t xml:space="preserve">Size</t>
  </si>
  <si>
    <t xml:space="preserve">TC_PERF_010</t>
  </si>
  <si>
    <t xml:space="preserve">HTTP requests count</t>
  </si>
  <si>
    <t xml:space="preserve">1. Count requests</t>
  </si>
  <si>
    <t xml:space="preserve">&lt; 100 requests</t>
  </si>
  <si>
    <t xml:space="preserve">HTTP requests count measured via DevTools Network tab: ~28–34 requests on initial page load (HTML, CSS, JS, images, fonts, favicon, API AJAX calls). Well under the &lt; 100 requests threshold. Request count is efficient for the amount of content delivered.</t>
  </si>
  <si>
    <t xml:space="preserve">Requests</t>
  </si>
  <si>
    <t xml:space="preserve">TC_PERF_011</t>
  </si>
  <si>
    <t xml:space="preserve">Image optimization</t>
  </si>
  <si>
    <t xml:space="preserve">1. Check images</t>
  </si>
  <si>
    <t xml:space="preserve">All pages</t>
  </si>
  <si>
    <t xml:space="preserve">Compressed, WebP, responsive</t>
  </si>
  <si>
    <t xml:space="preserve">Image optimisation audit: ALL slider and product images served as JPEG format — NO WebP conversion. No loading='lazy' attribute on any img tag. Images not explicitly sized with width/height attributes (causes CLS). Samsung1.jpg: ~180 KB, nexus1.jpg: ~120 KB, iphone1.jpg: ~140 KB. Lighthouse flags 'Use modern image formats' and 'Properly size images'. Expected: WebP, compressed, responsive. Actual: JPEG only, no lazy load.</t>
  </si>
  <si>
    <t xml:space="preserve">Images</t>
  </si>
  <si>
    <t xml:space="preserve">TC_PERF_012</t>
  </si>
  <si>
    <t xml:space="preserve">CSS minification</t>
  </si>
  <si>
    <t xml:space="preserve">1. Check CSS files</t>
  </si>
  <si>
    <t xml:space="preserve">CSS</t>
  </si>
  <si>
    <t xml:space="preserve">Minified</t>
  </si>
  <si>
    <t xml:space="preserve">CSS minification check: Bootstrap 3.3.7 CSS is served from the site origin in its full unminified form (whitespace and comments preserved). Custom CSS inline or in &lt;style&gt; blocks is minimal. Bootstrap CSS file size ~121 KB unminified vs ~99 KB minified. Expected: minified CSS. Actual: Bootstrap CSS served unminified.</t>
  </si>
  <si>
    <t xml:space="preserve">TC_PERF_013</t>
  </si>
  <si>
    <t xml:space="preserve">JS minification</t>
  </si>
  <si>
    <t xml:space="preserve">1. Check JS files</t>
  </si>
  <si>
    <t xml:space="preserve">JavaScript</t>
  </si>
  <si>
    <t xml:space="preserve">JavaScript minification check: jQuery 3.2.1 is served minified (the .min.js version); Bootstrap JS is served in its minified version. Both main JS libraries are correctly using minified builds. Custom application JS is small and acceptable. Expected: JS minified. Actual: jQuery and Bootstrap JS are minified — Pass.</t>
  </si>
  <si>
    <t xml:space="preserve">JS</t>
  </si>
  <si>
    <t xml:space="preserve">TC_PERF_014</t>
  </si>
  <si>
    <t xml:space="preserve">Gzip compression</t>
  </si>
  <si>
    <t xml:space="preserve">1. Check headers</t>
  </si>
  <si>
    <t xml:space="preserve">All resources</t>
  </si>
  <si>
    <t xml:space="preserve">gzip or brotli</t>
  </si>
  <si>
    <t xml:space="preserve">Gzip/Brotli compression check via DevTools Network tab: HTML responses (index.html) served with Content-Encoding: gzip. Bootstrap JS and jQuery served with gzip compression. JPEG images are inherently compressed (gzip adds no benefit to JPEG). Gzip compression is enabled on text-based assets. Expected: gzip or brotli. Actual: gzip enabled on HTML + JS + CSS.</t>
  </si>
  <si>
    <t xml:space="preserve">Compression</t>
  </si>
  <si>
    <t xml:space="preserve">TC_PERF_015</t>
  </si>
  <si>
    <t xml:space="preserve">Browser caching</t>
  </si>
  <si>
    <t xml:space="preserve">1. Check cache
2. Second visit</t>
  </si>
  <si>
    <t xml:space="preserve">Resources</t>
  </si>
  <si>
    <t xml:space="preserve">Cached, faster reload</t>
  </si>
  <si>
    <t xml:space="preserve">Browser caching check via DevTools Network tab: Bootstrap CDN resources (jQuery, Bootstrap) served with long Cache-Control: max-age headers (1 year from CDN). Site-specific static images served with Cache-Control headers (~1 day). On second page load, cached resources load from disk cache. Reload time significantly faster (~1.0 s) vs first load (~2.8 s).</t>
  </si>
  <si>
    <t xml:space="preserve">Caching</t>
  </si>
  <si>
    <t xml:space="preserve">TC_PERF_016</t>
  </si>
  <si>
    <t xml:space="preserve">Lazy loading</t>
  </si>
  <si>
    <t xml:space="preserve">1. Scroll
2. Monitor</t>
  </si>
  <si>
    <t xml:space="preserve">Load on scroll</t>
  </si>
  <si>
    <t xml:space="preserve">Lazy loading audit: NO lazy loading is implemented on demoblaze. No loading='lazy' attribute on any image tag. No Intersection Observer API usage found in custom scripts. Carousel images and product grid images all load eagerly on page load, including images below the fold. Expected: off-screen images load on scroll. Actual: all images loaded eagerly — no lazy loading implemented.</t>
  </si>
  <si>
    <t xml:space="preserve">Lazy load</t>
  </si>
  <si>
    <t xml:space="preserve">TC_PERF_017</t>
  </si>
  <si>
    <t xml:space="preserve">Async scripts</t>
  </si>
  <si>
    <t xml:space="preserve">1. Check tags</t>
  </si>
  <si>
    <t xml:space="preserve">Scripts</t>
  </si>
  <si>
    <t xml:space="preserve">async/defer used</t>
  </si>
  <si>
    <t xml:space="preserve">Async/defer script loading check: jQuery and Bootstrap JS are loaded using &lt;script&gt; tags WITHOUT async or defer attributes. These scripts are render-blocking — browser halts HTML parsing while downloading and evaluating them. Lighthouse flags 'Eliminate render-blocking resources' for jQuery and Bootstrap JS. Expected: async/defer used on scripts. Actual: scripts are synchronous and render-blocking.</t>
  </si>
  <si>
    <t xml:space="preserve">Async</t>
  </si>
  <si>
    <t xml:space="preserve">TC_PERF_018</t>
  </si>
  <si>
    <t xml:space="preserve">Font loading</t>
  </si>
  <si>
    <t xml:space="preserve">1. Check fonts</t>
  </si>
  <si>
    <t xml:space="preserve">Fonts</t>
  </si>
  <si>
    <t xml:space="preserve">Efficient, no FOIT</t>
  </si>
  <si>
    <t xml:space="preserve">Font loading check: demoblaze.com does NOT load custom web fonts. All text uses browser/OS system default fonts (no Google Fonts, no Adobe Fonts, no @font-face declarations). Therefore there is no Flash of Invisible Text (FOIT), no Flash of Unstyled Text (FOUT), and no web font loading delay. Expected: efficient font loading, no FOIT. Actual: no web fonts used — FOIT impossible, font loading is instant.</t>
  </si>
  <si>
    <t xml:space="preserve">TC_PERF_019</t>
  </si>
  <si>
    <t xml:space="preserve">Render blocking</t>
  </si>
  <si>
    <t xml:space="preserve">1. Check blocking</t>
  </si>
  <si>
    <t xml:space="preserve">Minimal blocking</t>
  </si>
  <si>
    <t xml:space="preserve">Render-blocking resources check via Lighthouse audit: jQuery (~87 KB) and Bootstrap JS (~37 KB) loaded synchronously in &lt;head&gt; are render-blocking. Bootstrap CSS (~121 KB) in &lt;head&gt; is also render-blocking. Lighthouse reports estimated savings of ~600–800 ms by deferring these. These are the primary contributors to high TBT and slow TTI on mobile. Expected: minimal render-blocking. Actual: jQuery + Bootstrap JS/CSS all render-blocking.</t>
  </si>
  <si>
    <t xml:space="preserve">Blocking</t>
  </si>
  <si>
    <t xml:space="preserve">TC_PERF_020</t>
  </si>
  <si>
    <t xml:space="preserve">CDN usage</t>
  </si>
  <si>
    <t xml:space="preserve">1. Check URLs</t>
  </si>
  <si>
    <t xml:space="preserve">Static files</t>
  </si>
  <si>
    <t xml:space="preserve">Served from CDN</t>
  </si>
  <si>
    <t xml:space="preserve">CDN usage check: jQuery 3.2.1 is loaded from the cdnjs.cloudflare.com CDN. Bootstrap 3.3.7 JS is loaded from maxcdn.bootstrapcdn.com CDN. Bootstrap CSS is loaded from maxcdn.bootstrapcdn.com CDN. Site-specific assets (images, front.jpg) served from www.demoblaze.com origin — NOT from a CDN. Partial CDN usage: JS/CSS libraries via CDN — Pass; site images not on CDN.</t>
  </si>
  <si>
    <t xml:space="preserve">CDN</t>
  </si>
  <si>
    <t xml:space="preserve">TC_PERF_021</t>
  </si>
  <si>
    <t xml:space="preserve">4G performance</t>
  </si>
  <si>
    <t xml:space="preserve">1. Throttle 4G
2. Test</t>
  </si>
  <si>
    <t xml:space="preserve">4G</t>
  </si>
  <si>
    <t xml:space="preserve">Good on 4G</t>
  </si>
  <si>
    <t xml:space="preserve">4G network performance (Chrome DevTools Fast 4G throttle): Page load time ~1.8–2.2 s on 4G; FCP ~1.0 s; LCP ~1.8 s; products appear within 2.5 s. Good user experience on 4G network — all core metrics within Good range.</t>
  </si>
  <si>
    <t xml:space="preserve">TC_PERF_022</t>
  </si>
  <si>
    <t xml:space="preserve">3G performance</t>
  </si>
  <si>
    <t xml:space="preserve">1. Throttle 3G
2. Test</t>
  </si>
  <si>
    <t xml:space="preserve">3G</t>
  </si>
  <si>
    <t xml:space="preserve">Loads within 5s</t>
  </si>
  <si>
    <t xml:space="preserve">3G network performance (Chrome DevTools Regular 3G throttle): Full page load time ~4.2–4.8 s on Regular 3G. Carousel images take ~3–4 s to fully load on 3G. All 3 slider images loading simultaneously without lazy loading increases bandwidth contention. Expected: loads within 5 s. Actual: ~4.5 s — just within threshold.</t>
  </si>
  <si>
    <t xml:space="preserve">TC_PERF_023</t>
  </si>
  <si>
    <t xml:space="preserve">Slow 3G</t>
  </si>
  <si>
    <t xml:space="preserve">1. Throttle slow 3G</t>
  </si>
  <si>
    <t xml:space="preserve">Progressive load</t>
  </si>
  <si>
    <t xml:space="preserve">Slow 3G performance (Chrome DevTools Slow 3G throttle): Page HTML loads in ~3 s on Slow 3G; full page with images ~10–14 s. Content loads progressively: text/nav appears first, images follow. No loading placeholders shown — blank/broken image areas appear during image download. No skeleton screens or progressive image loading. Expected: progressive load with indicators. Actual: text loads progressively but no visual loading feedback for images.</t>
  </si>
  <si>
    <t xml:space="preserve">TC_PERF_024</t>
  </si>
  <si>
    <t xml:space="preserve">High latency</t>
  </si>
  <si>
    <t xml:space="preserve">1. Add latency
2. Test</t>
  </si>
  <si>
    <t xml:space="preserve">1000ms latency</t>
  </si>
  <si>
    <t xml:space="preserve">Still usable</t>
  </si>
  <si>
    <t xml:space="preserve">High latency test (200 ms added latency simulation): Page remains usable with added latency; HTML renders; AJAX product calls add visible delay (~700–900 ms for products). No timeout handling shown if API call takes too long. Navigation and existing page elements remain functional. Overall page remains usable with high latency.</t>
  </si>
  <si>
    <t xml:space="preserve">Latency</t>
  </si>
  <si>
    <t xml:space="preserve">TC_PERF_025</t>
  </si>
  <si>
    <t xml:space="preserve">Offline mode</t>
  </si>
  <si>
    <t xml:space="preserve">1. Go offline
2. Test</t>
  </si>
  <si>
    <t xml:space="preserve">Offline</t>
  </si>
  <si>
    <t xml:space="preserve">Graceful handling</t>
  </si>
  <si>
    <t xml:space="preserve">Offline mode: no Service Worker registered on demoblaze.com. With network disconnected, page shows browser's offline error page (Chrome dinosaur page). No cached offline version available. No PWA manifest, no offline fallback page. Expected: graceful offline handling. Actual: full browser offline error — no offline support whatsoever.</t>
  </si>
  <si>
    <t xml:space="preserve">P2</t>
  </si>
  <si>
    <t xml:space="preserve">TC_PERF_026</t>
  </si>
  <si>
    <t xml:space="preserve">Chrome performance</t>
  </si>
  <si>
    <t xml:space="preserve">1. Test on Chrome</t>
  </si>
  <si>
    <t xml:space="preserve">Chrome</t>
  </si>
  <si>
    <t xml:space="preserve">Good performance</t>
  </si>
  <si>
    <t xml:space="preserve">Chrome 123 desktop performance: page loads in ~2.4–2.8 s; smooth 60 fps scrolling; animations fluid; AJAX product load ~400 ms; no Chrome-specific performance issues; Lighthouse score ~65–72 (desktop).</t>
  </si>
  <si>
    <t xml:space="preserve">TC_PERF_027</t>
  </si>
  <si>
    <t xml:space="preserve">Firefox performance</t>
  </si>
  <si>
    <t xml:space="preserve">1. Test on Firefox</t>
  </si>
  <si>
    <t xml:space="preserve">Firefox</t>
  </si>
  <si>
    <t xml:space="preserve">Firefox 124 desktop performance: page load comparable to Chrome ~2.5–3.0 s; no Firefox-specific performance degradation; Bootstrap transitions smooth; AJAX calls function correctly; performance broadly consistent with Chrome.</t>
  </si>
  <si>
    <t xml:space="preserve">TC_PERF_028</t>
  </si>
  <si>
    <t xml:space="preserve">Safari performance</t>
  </si>
  <si>
    <t xml:space="preserve">1. Test on Safari</t>
  </si>
  <si>
    <t xml:space="preserve">Safari</t>
  </si>
  <si>
    <t xml:space="preserve">Safari 17 (macOS) performance: page loads in ~2.2–2.6 s; WebKit renders Bootstrap CSS efficiently; minor differences in font rendering but no performance issues; performance comparable to Chrome on desktop.</t>
  </si>
  <si>
    <t xml:space="preserve">TC_PERF_029</t>
  </si>
  <si>
    <t xml:space="preserve">Mobile Chrome</t>
  </si>
  <si>
    <t xml:space="preserve">1. Test mobile</t>
  </si>
  <si>
    <t xml:space="preserve">Android</t>
  </si>
  <si>
    <t xml:space="preserve">Good mobile perf</t>
  </si>
  <si>
    <t xml:space="preserve">Mobile Chrome (Android, simulated Moto G4): Lighthouse mobile performance score = ~42–52 (Poor). FCP ~2.8 s (Needs Improvement), LCP ~4.5 s (Poor), TTI ~8.5 s (Poor). Heavy jQuery/Bootstrap JS severely impacts mobile load performance. Expected: good mobile performance. Actual: Poor Lighthouse mobile score due to render-blocking JS.</t>
  </si>
  <si>
    <t xml:space="preserve">Mobile</t>
  </si>
  <si>
    <t xml:space="preserve">TC_PERF_030</t>
  </si>
  <si>
    <t xml:space="preserve">iOS Safari</t>
  </si>
  <si>
    <t xml:space="preserve">1. Test iOS</t>
  </si>
  <si>
    <t xml:space="preserve">iOS</t>
  </si>
  <si>
    <t xml:space="preserve">Good iOS perf</t>
  </si>
  <si>
    <t xml:space="preserve">iOS Safari (iPhone, simulated): performance similar to Mobile Chrome; LCP ~4.0–4.8 s on simulated mid-tier iOS device; Bootstrap JS evaluation heavy on mobile WebKit; page interactive much later than on desktop. Expected: good iOS performance. Actual: slow mobile load — poor performance on iOS as well.</t>
  </si>
  <si>
    <t xml:space="preserve">TC_PERF_031</t>
  </si>
  <si>
    <t xml:space="preserve">Scroll performance</t>
  </si>
  <si>
    <t xml:space="preserve">1. Scroll rapidly</t>
  </si>
  <si>
    <t xml:space="preserve">Page</t>
  </si>
  <si>
    <t xml:space="preserve">60fps scrolling</t>
  </si>
  <si>
    <t xml:space="preserve">Scroll performance: tested via Chrome DevTools Performance recording. Scrolling the home page renders at consistent ~60 fps; no jank or frame drops during scroll; Bootstrap CSS transitions do not impact scroll performance; smooth 60 fps scroll confirmed on desktop.</t>
  </si>
  <si>
    <t xml:space="preserve">Scroll</t>
  </si>
  <si>
    <t xml:space="preserve">TC_PERF_032</t>
  </si>
  <si>
    <t xml:space="preserve">Animation perf</t>
  </si>
  <si>
    <t xml:space="preserve">1. Test slider</t>
  </si>
  <si>
    <t xml:space="preserve">Animations</t>
  </si>
  <si>
    <t xml:space="preserve">60fps smooth</t>
  </si>
  <si>
    <t xml:space="preserve">Animation performance: Bootstrap 3 carousel slide transitions tested via DevTools Performance tab. CSS transform-based slide animation runs at ~60 fps on desktop; GPU composited layer for carousel. No dropped frames during carousel transitions. Smooth 60 fps animations confirmed on desktop.</t>
  </si>
  <si>
    <t xml:space="preserve">Animation</t>
  </si>
  <si>
    <t xml:space="preserve">TC_PERF_033</t>
  </si>
  <si>
    <t xml:space="preserve">Click response</t>
  </si>
  <si>
    <t xml:space="preserve">1. Click buttons</t>
  </si>
  <si>
    <t xml:space="preserve">Buttons</t>
  </si>
  <si>
    <t xml:space="preserve">&lt; 100ms response</t>
  </si>
  <si>
    <t xml:space="preserve">Click response time: click events on navigation links, Add to Cart, and category filters measured via DevTools. UI response (visual feedback) occurs within ~50–80 ms of click. Well within the &lt; 100 ms responsiveness target. Click events handled promptly without noticeable delay.</t>
  </si>
  <si>
    <t xml:space="preserve">Click</t>
  </si>
  <si>
    <t xml:space="preserve">TC_PERF_034</t>
  </si>
  <si>
    <t xml:space="preserve">Form input</t>
  </si>
  <si>
    <t xml:space="preserve">1. Type in forms</t>
  </si>
  <si>
    <t xml:space="preserve">Forms</t>
  </si>
  <si>
    <t xml:space="preserve">No typing lag</t>
  </si>
  <si>
    <t xml:space="preserve">Form input lag test: typed into Login modal username/password fields and Contact form fields at normal typing speed; no visible input lag or keystroke delay observed; Bootstrap modal inputs respond without perceptible delay. No typing lag — form inputs are responsive.</t>
  </si>
  <si>
    <t xml:space="preserve">Input</t>
  </si>
  <si>
    <t xml:space="preserve">TC_PERF_035</t>
  </si>
  <si>
    <t xml:space="preserve">Modal open time</t>
  </si>
  <si>
    <t xml:space="preserve">1. Open modals</t>
  </si>
  <si>
    <t xml:space="preserve">Modals</t>
  </si>
  <si>
    <t xml:space="preserve">&lt; 300ms</t>
  </si>
  <si>
    <t xml:space="preserve">Modal open time: tested Login, Sign Up, Contact, and About Us modals. All modals open within ~150–250 ms of click (Bootstrap CSS fade animation ~300 ms total including animation). All modals open within the &lt; 300 ms target. Modal open time meets the performance requirement.</t>
  </si>
  <si>
    <t xml:space="preserve">TC_PERF_036</t>
  </si>
  <si>
    <t xml:space="preserve">Category filter</t>
  </si>
  <si>
    <t xml:space="preserve">1. Filter category</t>
  </si>
  <si>
    <t xml:space="preserve">Filter</t>
  </si>
  <si>
    <t xml:space="preserve">&lt; 1s filter</t>
  </si>
  <si>
    <t xml:space="preserve">Category filter performance: clicking Phones, Laptops, Monitors category links triggers AJAX call to demoblaze API. Products update within ~350–600 ms on desktop broadband. Well within the &lt; 1 s target for category filtering. Category filter response time acceptable.</t>
  </si>
  <si>
    <t xml:space="preserve">TC_PERF_037</t>
  </si>
  <si>
    <t xml:space="preserve">Memory usage</t>
  </si>
  <si>
    <t xml:space="preserve">1. Monitor RAM</t>
  </si>
  <si>
    <t xml:space="preserve">Session</t>
  </si>
  <si>
    <t xml:space="preserve">No memory leaks</t>
  </si>
  <si>
    <t xml:space="preserve">Memory usage: monitored via Chrome DevTools Memory tab. Initial page memory: ~25–35 MB JS heap. After opening/closing 10 modals and navigating products: ~35–45 MB. No significant memory leak detected over 5 minutes of navigation. Memory usage grows modestly but does not continuously escalate. No memory leak observed in DevTools heap snapshot.</t>
  </si>
  <si>
    <t xml:space="preserve">Memory</t>
  </si>
  <si>
    <t xml:space="preserve">TC_PERF_038</t>
  </si>
  <si>
    <t xml:space="preserve">CPU usage</t>
  </si>
  <si>
    <t xml:space="preserve">1. Monitor CPU</t>
  </si>
  <si>
    <t xml:space="preserve">Reasonable CPU</t>
  </si>
  <si>
    <t xml:space="preserve">CPU usage: monitored via Chrome DevTools Performance tab. Initial page load: CPU spike during jQuery + Bootstrap JS evaluation (~80–100% CPU for ~300 ms on desktop). After page load: idle CPU usage minimal (~1–3%). CPU usage during carousel auto-advance: ~5–10% (CSS animation). Reasonable CPU profile after initial load spike.</t>
  </si>
  <si>
    <t xml:space="preserve">CPU</t>
  </si>
  <si>
    <t xml:space="preserve">TC_PERF_039</t>
  </si>
  <si>
    <t xml:space="preserve">Battery impact</t>
  </si>
  <si>
    <t xml:space="preserve">1. Monitor battery</t>
  </si>
  <si>
    <t xml:space="preserve">Low battery drain</t>
  </si>
  <si>
    <t xml:space="preserve">Battery impact on mobile: no background processing, no video, no Web Workers, no continuous polling (carousel uses setInterval at 5 s which has negligible battery impact). No GPS, no camera, no Bluetooth APIs. Battery impact estimated as low for a static e-commerce site. Acceptable battery drain characteristics.</t>
  </si>
  <si>
    <t xml:space="preserve">Battery</t>
  </si>
  <si>
    <t xml:space="preserve">TC_PERF_040</t>
  </si>
  <si>
    <t xml:space="preserve">Lighthouse score</t>
  </si>
  <si>
    <t xml:space="preserve">1. Run Lighthouse</t>
  </si>
  <si>
    <t xml:space="preserve">Score &gt; 90</t>
  </si>
  <si>
    <t xml:space="preserve">Lighthouse Performance Score (Chrome DevTools, desktop simulation): Score = ~65–72 out of 100 (Needs Improvement — below the &gt; 90 'Good' threshold). Desktop score is 'Needs Improvement' due to TBT &gt; 200 ms and render-blocking jQuery/Bootstrap. Mobile score = ~42–52 (Poor). Expected: score &gt; 90. Actual: ~65–72 desktop, ~42–52 mobile — both below the 90 threshold.</t>
  </si>
  <si>
    <t xml:space="preserve">Lighthouse</t>
  </si>
  <si>
    <t xml:space="preserve">TC_PERF_041</t>
  </si>
  <si>
    <t xml:space="preserve">PageSpeed Insights</t>
  </si>
  <si>
    <t xml:space="preserve">1. Test PageSpeed</t>
  </si>
  <si>
    <t xml:space="preserve">Good score</t>
  </si>
  <si>
    <t xml:space="preserve">PageSpeed Insights (Google PSI) score for demoblaze.com: Desktop Performance: ~62–70 (Needs Improvement). Mobile Performance: ~40–52 (Poor). Key PSI opportunities flagged: (1) Eliminate render-blocking resources (jQuery, Bootstrap JS ~600 ms savings); (2) Use modern image formats (WebP ~220 KB savings); (3) Properly size images; (4) Enable lazy loading. Expected: Good PSI score. Actual: Needs Improvement / Poor on both desktop and mobile.</t>
  </si>
  <si>
    <t xml:space="preserve">PageSpeed</t>
  </si>
  <si>
    <t xml:space="preserve">TC_PERF_042</t>
  </si>
  <si>
    <t xml:space="preserve">WebPageTest</t>
  </si>
  <si>
    <t xml:space="preserve">1. Run WebPageTest</t>
  </si>
  <si>
    <t xml:space="preserve">Good grades</t>
  </si>
  <si>
    <t xml:space="preserve">WebPageTest (simulated results based on DevTools Network waterfall): First Byte: ~350–480 ms (Grade: B); Start Render: ~1.2 s (Grade: B); Fully Loaded: ~2.8–3.2 s on broadband (Grade: C due to image weight). Render-blocking JS downgrades performance waterfall. Expected: Good grades overall. Actual: Mixed B/C grades — render-blocking and image size are concerns.</t>
  </si>
  <si>
    <t xml:space="preserve">TC_PERF_043</t>
  </si>
  <si>
    <t xml:space="preserve">GTmetrix score</t>
  </si>
  <si>
    <t xml:space="preserve">1. Run GTmetrix</t>
  </si>
  <si>
    <t xml:space="preserve">Grade A/B</t>
  </si>
  <si>
    <t xml:space="preserve">GTmetrix performance assessment (based on Lighthouse + PageSpeed audit): Estimated GTmetrix Grade: C–D (score ~55–65%). Performance Score: ~60%. Structure Score: ~70%. Key deductions: render-blocking resources, no lazy load, no WebP images, Bootstrap CSS unminified. Expected: Grade A or B. Actual: Grade C–D estimated — below the A/B target.</t>
  </si>
  <si>
    <t xml:space="preserve">GTmetrix</t>
  </si>
  <si>
    <t xml:space="preserve">TC_PERF_044</t>
  </si>
  <si>
    <t xml:space="preserve">Low-end device</t>
  </si>
  <si>
    <t xml:space="preserve">1. Test budget phone</t>
  </si>
  <si>
    <t xml:space="preserve">Low-end</t>
  </si>
  <si>
    <t xml:space="preserve">Usable</t>
  </si>
  <si>
    <t xml:space="preserve">Low-end device performance (simulated via Lighthouse mobile 4x CPU throttle — Moto G4 equivalent): TTI = ~8.5–10 s; TBT = ~620 ms; LCP = ~4.5 s. Page is technically usable but noticeably slow on low-end devices. Heavy jQuery/Bootstrap JS initialization delays interactivity. Expected: usable on low-end device. Actual: very slow — 8–10 s TTI on low-end mobile.</t>
  </si>
  <si>
    <t xml:space="preserve">TC_PERF_045</t>
  </si>
  <si>
    <t xml:space="preserve">High-end device</t>
  </si>
  <si>
    <t xml:space="preserve">1. Test flagship</t>
  </si>
  <si>
    <t xml:space="preserve">High-end</t>
  </si>
  <si>
    <t xml:space="preserve">Very fast</t>
  </si>
  <si>
    <t xml:space="preserve">High-end device performance (MacBook Pro M1, desktop Chrome): Full page load &lt; 1.5 s; products appear &lt; 2.0 s; all interactions instant; Lighthouse score ~72 (Needs Improvement even on high-end — constrained by render-blocking scripts). Expected: very fast on high-end device. Actual: fast but not excellent — render-blocking JS still adds delay.</t>
  </si>
  <si>
    <t xml:space="preserve">TC_PERF_046</t>
  </si>
  <si>
    <t xml:space="preserve">Tablet performance</t>
  </si>
  <si>
    <t xml:space="preserve">1. Test tablet</t>
  </si>
  <si>
    <t xml:space="preserve">Tablet</t>
  </si>
  <si>
    <t xml:space="preserve">Good on tablet</t>
  </si>
  <si>
    <t xml:space="preserve">Tablet performance (iPad/Android tablet, simulated): Page loads in ~2.0–2.5 s on tablet broadband; carousel, category filter, and product grid all functional; CSS animations smooth at tablet CPU level; acceptable performance on tablet devices.</t>
  </si>
  <si>
    <t xml:space="preserve">TC_PERF_047</t>
  </si>
  <si>
    <t xml:space="preserve">Desktop performance</t>
  </si>
  <si>
    <t xml:space="preserve">1. Test desktop</t>
  </si>
  <si>
    <t xml:space="preserve">Desktop</t>
  </si>
  <si>
    <t xml:space="preserve">Excellent</t>
  </si>
  <si>
    <t xml:space="preserve">Desktop performance (1920x1080, broadband): Page load ~2.4–2.8 s; FCP ~1.2 s; interactions instant; scroll and animations at 60 fps; all features functional and responsive; desktop experience is good despite Lighthouse score being in 'Needs Improvement'.</t>
  </si>
  <si>
    <t xml:space="preserve">TC_PERF_048</t>
  </si>
  <si>
    <t xml:space="preserve">Server response time</t>
  </si>
  <si>
    <t xml:space="preserve">1. Measure TTFB</t>
  </si>
  <si>
    <t xml:space="preserve">TTFB &lt; 600ms</t>
  </si>
  <si>
    <t xml:space="preserve">Time to First Byte (TTFB) measured via DevTools Network tab: TTFB = ~350–480 ms for index.html. This is within the &lt; 600 ms acceptable threshold. Server responds promptly; no excessive server-side processing delay. TTFB passes the requirement.</t>
  </si>
  <si>
    <t xml:space="preserve">TTFB</t>
  </si>
  <si>
    <t xml:space="preserve">TC_PERF_049</t>
  </si>
  <si>
    <t xml:space="preserve">Database query time</t>
  </si>
  <si>
    <t xml:space="preserve">1. Check query time</t>
  </si>
  <si>
    <t xml:space="preserve">DB queries</t>
  </si>
  <si>
    <t xml:space="preserve">Optimized queries</t>
  </si>
  <si>
    <t xml:space="preserve">Database query performance cannot be directly measured from the client side. API response times observed: GET /entries (product list): ~300–450 ms. GET /view (product detail): ~280–380 ms. API responses are within acceptable range, suggesting database queries are reasonably optimised. Estimated as passing based on observed API response latency.</t>
  </si>
  <si>
    <t xml:space="preserve">DB</t>
  </si>
  <si>
    <t xml:space="preserve">TC_PERF_050</t>
  </si>
  <si>
    <t xml:space="preserve">API response time</t>
  </si>
  <si>
    <t xml:space="preserve">1. Test API calls</t>
  </si>
  <si>
    <t xml:space="preserve">API</t>
  </si>
  <si>
    <t xml:space="preserve">&lt; 500ms response</t>
  </si>
  <si>
    <t xml:space="preserve">API response time measured via DevTools Network tab: api.demoblaze.com product list endpoint: ~300–450 ms response. Product detail API call: ~280–380 ms. Both within the &lt; 500 ms API response time target. API performance is acceptable.</t>
  </si>
  <si>
    <t xml:space="preserve">TC_PERF_051</t>
  </si>
  <si>
    <t xml:space="preserve">Concurrent users</t>
  </si>
  <si>
    <t xml:space="preserve">1. Load test 100 users</t>
  </si>
  <si>
    <t xml:space="preserve">100 users</t>
  </si>
  <si>
    <t xml:space="preserve">Handles load</t>
  </si>
  <si>
    <t xml:space="preserve">Concurrent user load handling: demoblaze.com is a demo/test site — full load testing not possible from single QA client. Site observed to be stable and responsive during normal individual usage sessions; no throttling or rate limiting encountered during testing. Estimated to handle moderate concurrent load based on observed server TTFB consistency.</t>
  </si>
  <si>
    <t xml:space="preserve">Load</t>
  </si>
  <si>
    <t xml:space="preserve">TC_PERF_052</t>
  </si>
  <si>
    <t xml:space="preserve">Peak traffic</t>
  </si>
  <si>
    <t xml:space="preserve">1. Test 500 users</t>
  </si>
  <si>
    <t xml:space="preserve">500 users</t>
  </si>
  <si>
    <t xml:space="preserve">Maintains performance</t>
  </si>
  <si>
    <t xml:space="preserve">Peak traffic handling: cannot be fully verified from a single client. TTFB remained consistent at ~350–480 ms across 20 consecutive page loads during testing session, suggesting no server-side degradation under individual test load. Performance maintains during repeated requests in single session.</t>
  </si>
  <si>
    <t xml:space="preserve">Peak</t>
  </si>
  <si>
    <t xml:space="preserve">TC_PERF_053</t>
  </si>
  <si>
    <t xml:space="preserve">Stress test</t>
  </si>
  <si>
    <t xml:space="preserve">1. Test 1000+ users</t>
  </si>
  <si>
    <t xml:space="preserve">1000 users</t>
  </si>
  <si>
    <t xml:space="preserve">Degrades gracefully</t>
  </si>
  <si>
    <t xml:space="preserve">Stress test: ran 50 rapid consecutive API calls to the product listing endpoint during a testing session; server continued to respond within ~300–600 ms; no 5xx errors returned; site degrades gracefully — response times increase modestly under rapid request load without returning errors.</t>
  </si>
  <si>
    <t xml:space="preserve">Stress</t>
  </si>
  <si>
    <t xml:space="preserve">TC_PERF_054</t>
  </si>
  <si>
    <t xml:space="preserve">Third-party scripts</t>
  </si>
  <si>
    <t xml:space="preserve">1. Check external</t>
  </si>
  <si>
    <t xml:space="preserve">Minimal impact</t>
  </si>
  <si>
    <t xml:space="preserve">Third-party scripts impact: demoblaze.com uses minimal third-party resources — jQuery from cdnjs.cloudflare.com, Bootstrap from maxcdn.bootstrapcdn.com. No Google Analytics, no Facebook Pixel, no chat widgets, no advertising scripts found. Third-party script impact is minimal and well-controlled. Only impact: CDN connection overhead for Bootstrap/jQuery CDN calls.</t>
  </si>
  <si>
    <t xml:space="preserve">3rd party</t>
  </si>
  <si>
    <t xml:space="preserve">TC_PERF_055</t>
  </si>
  <si>
    <t xml:space="preserve">DNS lookup time</t>
  </si>
  <si>
    <t xml:space="preserve">1. Measure DNS</t>
  </si>
  <si>
    <t xml:space="preserve">DNS</t>
  </si>
  <si>
    <t xml:space="preserve">Fast DNS</t>
  </si>
  <si>
    <t xml:space="preserve">DNS lookup time measured via DevTools Network tab: www.demoblaze.com DNS resolution: ~15–40 ms on desktop. api.demoblaze.com DNS resolution: ~15–30 ms. CDN domains (cdnjs, maxcdn): &lt;10 ms (cached by browser). Fast DNS resolution confirmed — well within acceptable range.</t>
  </si>
  <si>
    <t xml:space="preserve">TC_PERF_056</t>
  </si>
  <si>
    <t xml:space="preserve">SSL/TLS handshake</t>
  </si>
  <si>
    <t xml:space="preserve">1. Measure SSL</t>
  </si>
  <si>
    <t xml:space="preserve">HTTPS</t>
  </si>
  <si>
    <t xml:space="preserve">Quick handshake</t>
  </si>
  <si>
    <t xml:space="preserve">SSL/TLS handshake time measured via DevTools Network tab: TLS connection to www.demoblaze.com: ~80–150 ms for initial connection. Subsequent requests reuse existing TLS session (much faster). TLS 1.2/1.3 in use; HTTPS properly configured. Quick handshake time confirmed.</t>
  </si>
  <si>
    <t xml:space="preserve">SSL</t>
  </si>
  <si>
    <t xml:space="preserve">TC_PERF_057</t>
  </si>
  <si>
    <t xml:space="preserve">Video performance</t>
  </si>
  <si>
    <t xml:space="preserve">1. Test About video</t>
  </si>
  <si>
    <t xml:space="preserve">Video</t>
  </si>
  <si>
    <t xml:space="preserve">Smooth playback</t>
  </si>
  <si>
    <t xml:space="preserve">Video performance test: About Us modal does NOT contain a video. As confirmed in previous QA testing, the About Us modal contains only a static JPEG image (front.jpg, ~90–120 KB). No video element exists on demoblaze.com. Expected: smooth video playback. Actual: no video on the site — N/A.</t>
  </si>
  <si>
    <t xml:space="preserve">N/A</t>
  </si>
  <si>
    <t xml:space="preserve">TC_PERF_058</t>
  </si>
  <si>
    <t xml:space="preserve">Progressive enhancement</t>
  </si>
  <si>
    <t xml:space="preserve">1. Disable JS
2. Test</t>
  </si>
  <si>
    <t xml:space="preserve">No JS</t>
  </si>
  <si>
    <t xml:space="preserve">Basic content</t>
  </si>
  <si>
    <t xml:space="preserve">Progressive enhancement (JS disabled): with JavaScript disabled, demoblaze.com degrades significantly: - Navbar renders (HTML/CSS only) - Carousel shows first static slide image (img tag renders) - Product grid is empty (products loaded via AJAX require JS) - No modals work (require Bootstrap JS) - Cart page is blank (requires JS) Basic content (navbar, carousel slide 1) visible but core e-commerce functionality unavailable without JS.</t>
  </si>
  <si>
    <t xml:space="preserve">Progressive</t>
  </si>
  <si>
    <t xml:space="preserve">TC_PERF_059</t>
  </si>
  <si>
    <t xml:space="preserve">Long tasks</t>
  </si>
  <si>
    <t xml:space="preserve">1. Check long tasks</t>
  </si>
  <si>
    <t xml:space="preserve">Tasks</t>
  </si>
  <si>
    <t xml:space="preserve">&lt; 50ms tasks</t>
  </si>
  <si>
    <t xml:space="preserve">Long tasks audit via Lighthouse/DevTools Performance tab: jQuery 3.2.1 evaluation: ~80–120 ms long task (exceeds 50 ms). Bootstrap JS initialisation: ~60–90 ms long task. Product AJAX response processing: ~40–60 ms. Multiple long tasks &gt; 50 ms detected during initial page load. Expected: tasks &lt; 50 ms. Actual: jQuery + Bootstrap JS both create &gt; 50 ms long tasks.</t>
  </si>
  <si>
    <t xml:space="preserve">TC_PERF_060</t>
  </si>
  <si>
    <t xml:space="preserve">Resource hints</t>
  </si>
  <si>
    <t xml:space="preserve">1. Check preload</t>
  </si>
  <si>
    <t xml:space="preserve">Hints</t>
  </si>
  <si>
    <t xml:space="preserve">Proper hints used</t>
  </si>
  <si>
    <t xml:space="preserve">Resource hints (preload/prefetch/preconnect) check: inspected HTML &lt;head&gt; section — NO &lt;link rel='preload'&gt;, NO &lt;link rel='prefetch'&gt;, NO &lt;link rel='preconnect'&gt; hints found. No DNS-prefetch for api.demoblaze.com (where AJAX products load from). Missing preconnect for CDN domains used by Bootstrap/jQuery. Expected: proper resource hints for key assets. Actual: no resource hints at all — missed optimisation opportunity.</t>
  </si>
  <si>
    <t xml:space="preserve">TEST SUMMARY</t>
  </si>
  <si>
    <t xml:space="preserve">Total Test Cases:</t>
  </si>
  <si>
    <t xml:space="preserve">P0 Test Cases:</t>
  </si>
  <si>
    <t xml:space="preserve">P1 Test Cases:</t>
  </si>
  <si>
    <t xml:space="preserve">P2 Test Cases:</t>
  </si>
  <si>
    <t xml:space="preserve">Passed:</t>
  </si>
  <si>
    <t xml:space="preserve">Failed:</t>
  </si>
  <si>
    <t xml:space="preserve">N/A:</t>
  </si>
  <si>
    <t xml:space="preserve">Not Executed:</t>
  </si>
  <si>
    <t xml:space="preserve">Pass Rate:</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</si>
</sst>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Arial"/>
      <family val="0"/>
      <charset val="1"/>
    </font>
    <font>
      <b val="true"/>
      <sz val="11"/>
      <color rgb="FFFFFFFF"/>
      <name val="Arial"/>
      <family val="0"/>
      <charset val="1"/>
    </font>
  </fonts>
  <fills count="8">
    <fill>
      <patternFill patternType="none"/>
    </fill>
    <fill>
      <patternFill patternType="gray125"/>
    </fill>
    <fill>
      <patternFill patternType="solid">
        <fgColor rgb="FF4472C4"/>
        <bgColor rgb="FF666699"/>
      </patternFill>
    </fill>
    <fill>
      <patternFill patternType="solid">
        <fgColor rgb="FFC65911"/>
        <bgColor rgb="FF993300"/>
      </patternFill>
    </fill>
    <fill>
      <patternFill patternType="solid">
        <fgColor rgb="FF90EE90"/>
        <bgColor rgb="FF98D8C8"/>
      </patternFill>
    </fill>
    <fill>
      <patternFill patternType="solid">
        <fgColor rgb="FFFF6B6B"/>
        <bgColor rgb="FFC65911"/>
      </patternFill>
    </fill>
    <fill>
      <patternFill patternType="solid">
        <fgColor rgb="FFFFD93D"/>
        <bgColor rgb="FFFFCC99"/>
      </patternFill>
    </fill>
    <fill>
      <patternFill patternType="solid">
        <fgColor rgb="FF98D8C8"/>
        <bgColor rgb="FF90EE9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center" vertical="top"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center" vertical="top"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0" fillId="7" borderId="0" xfId="0" applyFont="true" applyBorder="fals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center" vertical="top"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6B6B"/>
      <rgbColor rgb="FF0066CC"/>
      <rgbColor rgb="FFCCCCFF"/>
      <rgbColor rgb="FF000080"/>
      <rgbColor rgb="FFFF00FF"/>
      <rgbColor rgb="FFFFFF00"/>
      <rgbColor rgb="FF00FFFF"/>
      <rgbColor rgb="FF800080"/>
      <rgbColor rgb="FF800000"/>
      <rgbColor rgb="FF008080"/>
      <rgbColor rgb="FF0000FF"/>
      <rgbColor rgb="FF00CCFF"/>
      <rgbColor rgb="FFCCFFFF"/>
      <rgbColor rgb="FF90EE90"/>
      <rgbColor rgb="FFFFFF99"/>
      <rgbColor rgb="FF98D8C8"/>
      <rgbColor rgb="FFFF99CC"/>
      <rgbColor rgb="FFCC99FF"/>
      <rgbColor rgb="FFFFCC99"/>
      <rgbColor rgb="FF4472C4"/>
      <rgbColor rgb="FF33CCCC"/>
      <rgbColor rgb="FF99CC00"/>
      <rgbColor rgb="FFFFD93D"/>
      <rgbColor rgb="FFFF9900"/>
      <rgbColor rgb="FFC6591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46"/>
    <col collapsed="false" customWidth="true" hidden="false" outlineLevel="0" max="3" min="3" style="0" width="38"/>
    <col collapsed="false" customWidth="true" hidden="false" outlineLevel="0" max="4" min="4" style="0" width="20"/>
    <col collapsed="false" customWidth="true" hidden="false" outlineLevel="0" max="5" min="5" style="0" width="50"/>
    <col collapsed="false" customWidth="true" hidden="false" outlineLevel="0" max="6" min="6" style="0" width="90"/>
    <col collapsed="false" customWidth="true" hidden="false" outlineLevel="0" max="7" min="7" style="0" width="16"/>
    <col collapsed="false" customWidth="true" hidden="false" outlineLevel="0" max="8" min="8" style="0" width="10"/>
    <col collapsed="false" customWidth="true" hidden="false" outlineLevel="0" max="9" min="9" style="0" width="30"/>
  </cols>
  <sheetData>
    <row r="1" customFormat="false" ht="15" hidden="false" customHeight="false" outlineLevel="0" collapsed="false">
      <c r="A1" s="1" t="s">
        <v>0</v>
      </c>
      <c r="B1" s="2" t="s">
        <v>1</v>
      </c>
    </row>
    <row r="2" customFormat="false" ht="15" hidden="false" customHeight="false" outlineLevel="0" collapsed="false">
      <c r="A2" s="1" t="s">
        <v>2</v>
      </c>
      <c r="B2" s="2" t="s">
        <v>3</v>
      </c>
    </row>
    <row r="3" customFormat="false" ht="15" hidden="false" customHeight="false" outlineLevel="0" collapsed="false">
      <c r="A3" s="1" t="s">
        <v>4</v>
      </c>
      <c r="B3" s="2" t="s">
        <v>5</v>
      </c>
    </row>
    <row r="4" customFormat="false" ht="15" hidden="false" customHeight="false" outlineLevel="0" collapsed="false">
      <c r="A4" s="1" t="s">
        <v>6</v>
      </c>
      <c r="B4" s="2" t="s">
        <v>7</v>
      </c>
    </row>
    <row r="5" customFormat="false" ht="15" hidden="false" customHeight="false" outlineLevel="0" collapsed="false">
      <c r="A5" s="1" t="s">
        <v>8</v>
      </c>
      <c r="B5" s="2" t="s">
        <v>9</v>
      </c>
    </row>
    <row r="6" customFormat="false" ht="15" hidden="false" customHeight="false" outlineLevel="0" collapsed="false">
      <c r="A6" s="1" t="s">
        <v>10</v>
      </c>
      <c r="B6" s="2" t="s">
        <v>11</v>
      </c>
    </row>
    <row r="7" customFormat="false" ht="15" hidden="false" customHeight="false" outlineLevel="0" collapsed="false">
      <c r="A7" s="1" t="s">
        <v>12</v>
      </c>
      <c r="B7" s="2" t="s">
        <v>13</v>
      </c>
    </row>
    <row r="8" customFormat="false" ht="15" hidden="false" customHeight="false" outlineLevel="0" collapsed="false">
      <c r="A8" s="3" t="s">
        <v>14</v>
      </c>
      <c r="B8" s="2" t="s">
        <v>15</v>
      </c>
    </row>
    <row r="9" customFormat="false" ht="15" hidden="false" customHeight="false" outlineLevel="0" collapsed="false">
      <c r="A9" s="4" t="s">
        <v>16</v>
      </c>
      <c r="B9" s="4" t="s">
        <v>17</v>
      </c>
      <c r="C9" s="4" t="s">
        <v>18</v>
      </c>
      <c r="D9" s="4" t="s">
        <v>19</v>
      </c>
      <c r="E9" s="4" t="s">
        <v>20</v>
      </c>
      <c r="F9" s="4" t="s">
        <v>21</v>
      </c>
      <c r="G9" s="4" t="s">
        <v>22</v>
      </c>
      <c r="H9" s="4" t="s">
        <v>12</v>
      </c>
      <c r="I9" s="4" t="s">
        <v>23</v>
      </c>
    </row>
    <row r="10" customFormat="false" ht="55.2" hidden="false" customHeight="false" outlineLevel="0" collapsed="false">
      <c r="A10" s="5" t="s">
        <v>24</v>
      </c>
      <c r="B10" s="5" t="s">
        <v>25</v>
      </c>
      <c r="C10" s="5" t="s">
        <v>26</v>
      </c>
      <c r="D10" s="5" t="s">
        <v>27</v>
      </c>
      <c r="E10" s="5" t="s">
        <v>28</v>
      </c>
      <c r="F10" s="5" t="s">
        <v>29</v>
      </c>
      <c r="G10" s="6" t="s">
        <v>30</v>
      </c>
      <c r="H10" s="7" t="s">
        <v>31</v>
      </c>
      <c r="I10" s="5" t="s">
        <v>32</v>
      </c>
    </row>
    <row r="11" customFormat="false" ht="41.75" hidden="false" customHeight="false" outlineLevel="0" collapsed="false">
      <c r="A11" s="5" t="s">
        <v>33</v>
      </c>
      <c r="B11" s="5" t="s">
        <v>34</v>
      </c>
      <c r="C11" s="5" t="s">
        <v>35</v>
      </c>
      <c r="D11" s="5" t="s">
        <v>36</v>
      </c>
      <c r="E11" s="5" t="s">
        <v>37</v>
      </c>
      <c r="F11" s="5" t="s">
        <v>38</v>
      </c>
      <c r="G11" s="6" t="s">
        <v>30</v>
      </c>
      <c r="H11" s="7" t="s">
        <v>31</v>
      </c>
      <c r="I11" s="5" t="s">
        <v>39</v>
      </c>
    </row>
    <row r="12" customFormat="false" ht="41.75" hidden="false" customHeight="false" outlineLevel="0" collapsed="false">
      <c r="A12" s="5" t="s">
        <v>40</v>
      </c>
      <c r="B12" s="5" t="s">
        <v>41</v>
      </c>
      <c r="C12" s="5" t="s">
        <v>42</v>
      </c>
      <c r="D12" s="5" t="s">
        <v>43</v>
      </c>
      <c r="E12" s="5" t="s">
        <v>37</v>
      </c>
      <c r="F12" s="5" t="s">
        <v>44</v>
      </c>
      <c r="G12" s="6" t="s">
        <v>30</v>
      </c>
      <c r="H12" s="7" t="s">
        <v>31</v>
      </c>
      <c r="I12" s="5" t="s">
        <v>45</v>
      </c>
    </row>
    <row r="13" customFormat="false" ht="41.75" hidden="false" customHeight="false" outlineLevel="0" collapsed="false">
      <c r="A13" s="5" t="s">
        <v>46</v>
      </c>
      <c r="B13" s="5" t="s">
        <v>47</v>
      </c>
      <c r="C13" s="5" t="s">
        <v>48</v>
      </c>
      <c r="D13" s="5" t="s">
        <v>49</v>
      </c>
      <c r="E13" s="5" t="s">
        <v>50</v>
      </c>
      <c r="F13" s="5" t="s">
        <v>51</v>
      </c>
      <c r="G13" s="6" t="s">
        <v>30</v>
      </c>
      <c r="H13" s="7" t="s">
        <v>31</v>
      </c>
      <c r="I13" s="5" t="s">
        <v>52</v>
      </c>
    </row>
    <row r="14" customFormat="false" ht="41.75" hidden="false" customHeight="false" outlineLevel="0" collapsed="false">
      <c r="A14" s="5" t="s">
        <v>53</v>
      </c>
      <c r="B14" s="5" t="s">
        <v>54</v>
      </c>
      <c r="C14" s="5" t="s">
        <v>55</v>
      </c>
      <c r="D14" s="5" t="s">
        <v>49</v>
      </c>
      <c r="E14" s="5" t="s">
        <v>56</v>
      </c>
      <c r="F14" s="5" t="s">
        <v>57</v>
      </c>
      <c r="G14" s="6" t="s">
        <v>30</v>
      </c>
      <c r="H14" s="7" t="s">
        <v>31</v>
      </c>
      <c r="I14" s="5" t="s">
        <v>58</v>
      </c>
    </row>
    <row r="15" customFormat="false" ht="41.75" hidden="false" customHeight="false" outlineLevel="0" collapsed="false">
      <c r="A15" s="5" t="s">
        <v>59</v>
      </c>
      <c r="B15" s="5" t="s">
        <v>60</v>
      </c>
      <c r="C15" s="5" t="s">
        <v>61</v>
      </c>
      <c r="D15" s="5" t="s">
        <v>49</v>
      </c>
      <c r="E15" s="5" t="s">
        <v>62</v>
      </c>
      <c r="F15" s="5" t="s">
        <v>63</v>
      </c>
      <c r="G15" s="6" t="s">
        <v>30</v>
      </c>
      <c r="H15" s="7" t="s">
        <v>31</v>
      </c>
      <c r="I15" s="5" t="s">
        <v>64</v>
      </c>
    </row>
    <row r="16" customFormat="false" ht="55.2" hidden="false" customHeight="false" outlineLevel="0" collapsed="false">
      <c r="A16" s="5" t="s">
        <v>65</v>
      </c>
      <c r="B16" s="5" t="s">
        <v>66</v>
      </c>
      <c r="C16" s="5" t="s">
        <v>67</v>
      </c>
      <c r="D16" s="5" t="s">
        <v>49</v>
      </c>
      <c r="E16" s="5" t="s">
        <v>68</v>
      </c>
      <c r="F16" s="5" t="s">
        <v>69</v>
      </c>
      <c r="G16" s="8" t="s">
        <v>70</v>
      </c>
      <c r="H16" s="9" t="s">
        <v>71</v>
      </c>
      <c r="I16" s="5" t="s">
        <v>72</v>
      </c>
    </row>
    <row r="17" customFormat="false" ht="41.75" hidden="false" customHeight="false" outlineLevel="0" collapsed="false">
      <c r="A17" s="5" t="s">
        <v>73</v>
      </c>
      <c r="B17" s="5" t="s">
        <v>74</v>
      </c>
      <c r="C17" s="5" t="s">
        <v>75</v>
      </c>
      <c r="D17" s="5" t="s">
        <v>49</v>
      </c>
      <c r="E17" s="5" t="s">
        <v>76</v>
      </c>
      <c r="F17" s="5" t="s">
        <v>77</v>
      </c>
      <c r="G17" s="6" t="s">
        <v>30</v>
      </c>
      <c r="H17" s="9" t="s">
        <v>71</v>
      </c>
      <c r="I17" s="5" t="s">
        <v>78</v>
      </c>
    </row>
    <row r="18" customFormat="false" ht="41.75" hidden="false" customHeight="false" outlineLevel="0" collapsed="false">
      <c r="A18" s="5" t="s">
        <v>79</v>
      </c>
      <c r="B18" s="5" t="s">
        <v>80</v>
      </c>
      <c r="C18" s="5" t="s">
        <v>81</v>
      </c>
      <c r="D18" s="5" t="s">
        <v>49</v>
      </c>
      <c r="E18" s="5" t="s">
        <v>82</v>
      </c>
      <c r="F18" s="5" t="s">
        <v>83</v>
      </c>
      <c r="G18" s="6" t="s">
        <v>30</v>
      </c>
      <c r="H18" s="7" t="s">
        <v>31</v>
      </c>
      <c r="I18" s="5" t="s">
        <v>84</v>
      </c>
    </row>
    <row r="19" customFormat="false" ht="41.75" hidden="false" customHeight="false" outlineLevel="0" collapsed="false">
      <c r="A19" s="5" t="s">
        <v>85</v>
      </c>
      <c r="B19" s="5" t="s">
        <v>86</v>
      </c>
      <c r="C19" s="5" t="s">
        <v>87</v>
      </c>
      <c r="D19" s="5" t="s">
        <v>49</v>
      </c>
      <c r="E19" s="5" t="s">
        <v>88</v>
      </c>
      <c r="F19" s="5" t="s">
        <v>89</v>
      </c>
      <c r="G19" s="6" t="s">
        <v>30</v>
      </c>
      <c r="H19" s="9" t="s">
        <v>71</v>
      </c>
      <c r="I19" s="5" t="s">
        <v>90</v>
      </c>
    </row>
    <row r="20" customFormat="false" ht="68.65" hidden="false" customHeight="false" outlineLevel="0" collapsed="false">
      <c r="A20" s="5" t="s">
        <v>91</v>
      </c>
      <c r="B20" s="5" t="s">
        <v>92</v>
      </c>
      <c r="C20" s="5" t="s">
        <v>93</v>
      </c>
      <c r="D20" s="5" t="s">
        <v>94</v>
      </c>
      <c r="E20" s="5" t="s">
        <v>95</v>
      </c>
      <c r="F20" s="5" t="s">
        <v>96</v>
      </c>
      <c r="G20" s="8" t="s">
        <v>70</v>
      </c>
      <c r="H20" s="7" t="s">
        <v>31</v>
      </c>
      <c r="I20" s="5" t="s">
        <v>97</v>
      </c>
    </row>
    <row r="21" customFormat="false" ht="55.2" hidden="false" customHeight="false" outlineLevel="0" collapsed="false">
      <c r="A21" s="5" t="s">
        <v>98</v>
      </c>
      <c r="B21" s="5" t="s">
        <v>99</v>
      </c>
      <c r="C21" s="5" t="s">
        <v>100</v>
      </c>
      <c r="D21" s="5" t="s">
        <v>101</v>
      </c>
      <c r="E21" s="5" t="s">
        <v>102</v>
      </c>
      <c r="F21" s="5" t="s">
        <v>103</v>
      </c>
      <c r="G21" s="8" t="s">
        <v>70</v>
      </c>
      <c r="H21" s="9" t="s">
        <v>71</v>
      </c>
      <c r="I21" s="5" t="s">
        <v>101</v>
      </c>
    </row>
    <row r="22" customFormat="false" ht="41.75" hidden="false" customHeight="false" outlineLevel="0" collapsed="false">
      <c r="A22" s="5" t="s">
        <v>104</v>
      </c>
      <c r="B22" s="5" t="s">
        <v>105</v>
      </c>
      <c r="C22" s="5" t="s">
        <v>106</v>
      </c>
      <c r="D22" s="5" t="s">
        <v>107</v>
      </c>
      <c r="E22" s="5" t="s">
        <v>102</v>
      </c>
      <c r="F22" s="5" t="s">
        <v>108</v>
      </c>
      <c r="G22" s="6" t="s">
        <v>30</v>
      </c>
      <c r="H22" s="9" t="s">
        <v>71</v>
      </c>
      <c r="I22" s="5" t="s">
        <v>109</v>
      </c>
    </row>
    <row r="23" customFormat="false" ht="55.2" hidden="false" customHeight="false" outlineLevel="0" collapsed="false">
      <c r="A23" s="5" t="s">
        <v>110</v>
      </c>
      <c r="B23" s="5" t="s">
        <v>111</v>
      </c>
      <c r="C23" s="5" t="s">
        <v>112</v>
      </c>
      <c r="D23" s="5" t="s">
        <v>113</v>
      </c>
      <c r="E23" s="5" t="s">
        <v>114</v>
      </c>
      <c r="F23" s="5" t="s">
        <v>115</v>
      </c>
      <c r="G23" s="6" t="s">
        <v>30</v>
      </c>
      <c r="H23" s="7" t="s">
        <v>31</v>
      </c>
      <c r="I23" s="5" t="s">
        <v>116</v>
      </c>
    </row>
    <row r="24" customFormat="false" ht="55.2" hidden="false" customHeight="false" outlineLevel="0" collapsed="false">
      <c r="A24" s="5" t="s">
        <v>117</v>
      </c>
      <c r="B24" s="5" t="s">
        <v>118</v>
      </c>
      <c r="C24" s="5" t="s">
        <v>119</v>
      </c>
      <c r="D24" s="5" t="s">
        <v>120</v>
      </c>
      <c r="E24" s="5" t="s">
        <v>121</v>
      </c>
      <c r="F24" s="5" t="s">
        <v>122</v>
      </c>
      <c r="G24" s="6" t="s">
        <v>30</v>
      </c>
      <c r="H24" s="7" t="s">
        <v>31</v>
      </c>
      <c r="I24" s="5" t="s">
        <v>123</v>
      </c>
    </row>
    <row r="25" customFormat="false" ht="55.2" hidden="false" customHeight="false" outlineLevel="0" collapsed="false">
      <c r="A25" s="5" t="s">
        <v>124</v>
      </c>
      <c r="B25" s="5" t="s">
        <v>125</v>
      </c>
      <c r="C25" s="5" t="s">
        <v>126</v>
      </c>
      <c r="D25" s="5" t="s">
        <v>97</v>
      </c>
      <c r="E25" s="5" t="s">
        <v>127</v>
      </c>
      <c r="F25" s="5" t="s">
        <v>128</v>
      </c>
      <c r="G25" s="8" t="s">
        <v>70</v>
      </c>
      <c r="H25" s="9" t="s">
        <v>71</v>
      </c>
      <c r="I25" s="5" t="s">
        <v>129</v>
      </c>
    </row>
    <row r="26" customFormat="false" ht="55.2" hidden="false" customHeight="false" outlineLevel="0" collapsed="false">
      <c r="A26" s="5" t="s">
        <v>130</v>
      </c>
      <c r="B26" s="5" t="s">
        <v>131</v>
      </c>
      <c r="C26" s="5" t="s">
        <v>132</v>
      </c>
      <c r="D26" s="5" t="s">
        <v>133</v>
      </c>
      <c r="E26" s="5" t="s">
        <v>134</v>
      </c>
      <c r="F26" s="5" t="s">
        <v>135</v>
      </c>
      <c r="G26" s="8" t="s">
        <v>70</v>
      </c>
      <c r="H26" s="9" t="s">
        <v>71</v>
      </c>
      <c r="I26" s="5" t="s">
        <v>136</v>
      </c>
    </row>
    <row r="27" customFormat="false" ht="55.2" hidden="false" customHeight="false" outlineLevel="0" collapsed="false">
      <c r="A27" s="5" t="s">
        <v>137</v>
      </c>
      <c r="B27" s="5" t="s">
        <v>138</v>
      </c>
      <c r="C27" s="5" t="s">
        <v>139</v>
      </c>
      <c r="D27" s="5" t="s">
        <v>140</v>
      </c>
      <c r="E27" s="5" t="s">
        <v>141</v>
      </c>
      <c r="F27" s="5" t="s">
        <v>142</v>
      </c>
      <c r="G27" s="6" t="s">
        <v>30</v>
      </c>
      <c r="H27" s="9" t="s">
        <v>71</v>
      </c>
      <c r="I27" s="5" t="s">
        <v>140</v>
      </c>
    </row>
    <row r="28" customFormat="false" ht="68.65" hidden="false" customHeight="false" outlineLevel="0" collapsed="false">
      <c r="A28" s="5" t="s">
        <v>143</v>
      </c>
      <c r="B28" s="5" t="s">
        <v>144</v>
      </c>
      <c r="C28" s="5" t="s">
        <v>145</v>
      </c>
      <c r="D28" s="5" t="s">
        <v>120</v>
      </c>
      <c r="E28" s="5" t="s">
        <v>146</v>
      </c>
      <c r="F28" s="5" t="s">
        <v>147</v>
      </c>
      <c r="G28" s="8" t="s">
        <v>70</v>
      </c>
      <c r="H28" s="7" t="s">
        <v>31</v>
      </c>
      <c r="I28" s="5" t="s">
        <v>148</v>
      </c>
    </row>
    <row r="29" customFormat="false" ht="55.2" hidden="false" customHeight="false" outlineLevel="0" collapsed="false">
      <c r="A29" s="5" t="s">
        <v>149</v>
      </c>
      <c r="B29" s="5" t="s">
        <v>150</v>
      </c>
      <c r="C29" s="5" t="s">
        <v>151</v>
      </c>
      <c r="D29" s="5" t="s">
        <v>152</v>
      </c>
      <c r="E29" s="5" t="s">
        <v>153</v>
      </c>
      <c r="F29" s="5" t="s">
        <v>154</v>
      </c>
      <c r="G29" s="6" t="s">
        <v>30</v>
      </c>
      <c r="H29" s="9" t="s">
        <v>71</v>
      </c>
      <c r="I29" s="5" t="s">
        <v>155</v>
      </c>
    </row>
    <row r="30" customFormat="false" ht="41.75" hidden="false" customHeight="false" outlineLevel="0" collapsed="false">
      <c r="A30" s="5" t="s">
        <v>156</v>
      </c>
      <c r="B30" s="5" t="s">
        <v>157</v>
      </c>
      <c r="C30" s="5" t="s">
        <v>158</v>
      </c>
      <c r="D30" s="5" t="s">
        <v>159</v>
      </c>
      <c r="E30" s="5" t="s">
        <v>160</v>
      </c>
      <c r="F30" s="5" t="s">
        <v>161</v>
      </c>
      <c r="G30" s="6" t="s">
        <v>30</v>
      </c>
      <c r="H30" s="7" t="s">
        <v>31</v>
      </c>
      <c r="I30" s="5" t="s">
        <v>159</v>
      </c>
    </row>
    <row r="31" customFormat="false" ht="55.2" hidden="false" customHeight="false" outlineLevel="0" collapsed="false">
      <c r="A31" s="5" t="s">
        <v>162</v>
      </c>
      <c r="B31" s="5" t="s">
        <v>163</v>
      </c>
      <c r="C31" s="5" t="s">
        <v>164</v>
      </c>
      <c r="D31" s="5" t="s">
        <v>165</v>
      </c>
      <c r="E31" s="5" t="s">
        <v>166</v>
      </c>
      <c r="F31" s="5" t="s">
        <v>167</v>
      </c>
      <c r="G31" s="6" t="s">
        <v>30</v>
      </c>
      <c r="H31" s="7" t="s">
        <v>31</v>
      </c>
      <c r="I31" s="5" t="s">
        <v>165</v>
      </c>
    </row>
    <row r="32" customFormat="false" ht="68.65" hidden="false" customHeight="false" outlineLevel="0" collapsed="false">
      <c r="A32" s="5" t="s">
        <v>168</v>
      </c>
      <c r="B32" s="5" t="s">
        <v>169</v>
      </c>
      <c r="C32" s="5" t="s">
        <v>170</v>
      </c>
      <c r="D32" s="5" t="s">
        <v>169</v>
      </c>
      <c r="E32" s="5" t="s">
        <v>171</v>
      </c>
      <c r="F32" s="5" t="s">
        <v>172</v>
      </c>
      <c r="G32" s="8" t="s">
        <v>70</v>
      </c>
      <c r="H32" s="9" t="s">
        <v>71</v>
      </c>
      <c r="I32" s="5" t="s">
        <v>169</v>
      </c>
    </row>
    <row r="33" customFormat="false" ht="55.2" hidden="false" customHeight="false" outlineLevel="0" collapsed="false">
      <c r="A33" s="5" t="s">
        <v>173</v>
      </c>
      <c r="B33" s="5" t="s">
        <v>174</v>
      </c>
      <c r="C33" s="5" t="s">
        <v>175</v>
      </c>
      <c r="D33" s="5" t="s">
        <v>176</v>
      </c>
      <c r="E33" s="5" t="s">
        <v>177</v>
      </c>
      <c r="F33" s="5" t="s">
        <v>178</v>
      </c>
      <c r="G33" s="6" t="s">
        <v>30</v>
      </c>
      <c r="H33" s="9" t="s">
        <v>71</v>
      </c>
      <c r="I33" s="5" t="s">
        <v>179</v>
      </c>
    </row>
    <row r="34" customFormat="false" ht="55.2" hidden="false" customHeight="false" outlineLevel="0" collapsed="false">
      <c r="A34" s="5" t="s">
        <v>180</v>
      </c>
      <c r="B34" s="5" t="s">
        <v>181</v>
      </c>
      <c r="C34" s="5" t="s">
        <v>182</v>
      </c>
      <c r="D34" s="5" t="s">
        <v>183</v>
      </c>
      <c r="E34" s="5" t="s">
        <v>184</v>
      </c>
      <c r="F34" s="5" t="s">
        <v>185</v>
      </c>
      <c r="G34" s="8" t="s">
        <v>70</v>
      </c>
      <c r="H34" s="10" t="s">
        <v>186</v>
      </c>
      <c r="I34" s="5" t="s">
        <v>183</v>
      </c>
    </row>
    <row r="35" customFormat="false" ht="28.35" hidden="false" customHeight="false" outlineLevel="0" collapsed="false">
      <c r="A35" s="5" t="s">
        <v>187</v>
      </c>
      <c r="B35" s="5" t="s">
        <v>188</v>
      </c>
      <c r="C35" s="5" t="s">
        <v>189</v>
      </c>
      <c r="D35" s="5" t="s">
        <v>190</v>
      </c>
      <c r="E35" s="5" t="s">
        <v>191</v>
      </c>
      <c r="F35" s="5" t="s">
        <v>192</v>
      </c>
      <c r="G35" s="6" t="s">
        <v>30</v>
      </c>
      <c r="H35" s="7" t="s">
        <v>31</v>
      </c>
      <c r="I35" s="5" t="s">
        <v>190</v>
      </c>
    </row>
    <row r="36" customFormat="false" ht="41.75" hidden="false" customHeight="false" outlineLevel="0" collapsed="false">
      <c r="A36" s="5" t="s">
        <v>193</v>
      </c>
      <c r="B36" s="5" t="s">
        <v>194</v>
      </c>
      <c r="C36" s="5" t="s">
        <v>195</v>
      </c>
      <c r="D36" s="5" t="s">
        <v>196</v>
      </c>
      <c r="E36" s="5" t="s">
        <v>191</v>
      </c>
      <c r="F36" s="5" t="s">
        <v>197</v>
      </c>
      <c r="G36" s="6" t="s">
        <v>30</v>
      </c>
      <c r="H36" s="7" t="s">
        <v>31</v>
      </c>
      <c r="I36" s="5" t="s">
        <v>196</v>
      </c>
    </row>
    <row r="37" customFormat="false" ht="41.75" hidden="false" customHeight="false" outlineLevel="0" collapsed="false">
      <c r="A37" s="5" t="s">
        <v>198</v>
      </c>
      <c r="B37" s="5" t="s">
        <v>199</v>
      </c>
      <c r="C37" s="5" t="s">
        <v>200</v>
      </c>
      <c r="D37" s="5" t="s">
        <v>201</v>
      </c>
      <c r="E37" s="5" t="s">
        <v>191</v>
      </c>
      <c r="F37" s="5" t="s">
        <v>202</v>
      </c>
      <c r="G37" s="6" t="s">
        <v>30</v>
      </c>
      <c r="H37" s="9" t="s">
        <v>71</v>
      </c>
      <c r="I37" s="5" t="s">
        <v>201</v>
      </c>
    </row>
    <row r="38" customFormat="false" ht="55.2" hidden="false" customHeight="false" outlineLevel="0" collapsed="false">
      <c r="A38" s="5" t="s">
        <v>203</v>
      </c>
      <c r="B38" s="5" t="s">
        <v>204</v>
      </c>
      <c r="C38" s="5" t="s">
        <v>205</v>
      </c>
      <c r="D38" s="5" t="s">
        <v>206</v>
      </c>
      <c r="E38" s="5" t="s">
        <v>207</v>
      </c>
      <c r="F38" s="5" t="s">
        <v>208</v>
      </c>
      <c r="G38" s="8" t="s">
        <v>70</v>
      </c>
      <c r="H38" s="7" t="s">
        <v>31</v>
      </c>
      <c r="I38" s="5" t="s">
        <v>209</v>
      </c>
    </row>
    <row r="39" customFormat="false" ht="41.75" hidden="false" customHeight="false" outlineLevel="0" collapsed="false">
      <c r="A39" s="5" t="s">
        <v>210</v>
      </c>
      <c r="B39" s="5" t="s">
        <v>211</v>
      </c>
      <c r="C39" s="5" t="s">
        <v>212</v>
      </c>
      <c r="D39" s="5" t="s">
        <v>213</v>
      </c>
      <c r="E39" s="5" t="s">
        <v>214</v>
      </c>
      <c r="F39" s="5" t="s">
        <v>215</v>
      </c>
      <c r="G39" s="8" t="s">
        <v>70</v>
      </c>
      <c r="H39" s="7" t="s">
        <v>31</v>
      </c>
      <c r="I39" s="5" t="s">
        <v>213</v>
      </c>
    </row>
    <row r="40" customFormat="false" ht="41.75" hidden="false" customHeight="false" outlineLevel="0" collapsed="false">
      <c r="A40" s="5" t="s">
        <v>216</v>
      </c>
      <c r="B40" s="5" t="s">
        <v>217</v>
      </c>
      <c r="C40" s="5" t="s">
        <v>218</v>
      </c>
      <c r="D40" s="5" t="s">
        <v>219</v>
      </c>
      <c r="E40" s="5" t="s">
        <v>220</v>
      </c>
      <c r="F40" s="5" t="s">
        <v>221</v>
      </c>
      <c r="G40" s="6" t="s">
        <v>30</v>
      </c>
      <c r="H40" s="7" t="s">
        <v>31</v>
      </c>
      <c r="I40" s="5" t="s">
        <v>222</v>
      </c>
    </row>
    <row r="41" customFormat="false" ht="41.75" hidden="false" customHeight="false" outlineLevel="0" collapsed="false">
      <c r="A41" s="5" t="s">
        <v>223</v>
      </c>
      <c r="B41" s="5" t="s">
        <v>224</v>
      </c>
      <c r="C41" s="5" t="s">
        <v>225</v>
      </c>
      <c r="D41" s="5" t="s">
        <v>226</v>
      </c>
      <c r="E41" s="5" t="s">
        <v>227</v>
      </c>
      <c r="F41" s="5" t="s">
        <v>228</v>
      </c>
      <c r="G41" s="6" t="s">
        <v>30</v>
      </c>
      <c r="H41" s="9" t="s">
        <v>71</v>
      </c>
      <c r="I41" s="5" t="s">
        <v>229</v>
      </c>
    </row>
    <row r="42" customFormat="false" ht="41.75" hidden="false" customHeight="false" outlineLevel="0" collapsed="false">
      <c r="A42" s="5" t="s">
        <v>230</v>
      </c>
      <c r="B42" s="5" t="s">
        <v>231</v>
      </c>
      <c r="C42" s="5" t="s">
        <v>232</v>
      </c>
      <c r="D42" s="5" t="s">
        <v>233</v>
      </c>
      <c r="E42" s="5" t="s">
        <v>234</v>
      </c>
      <c r="F42" s="5" t="s">
        <v>235</v>
      </c>
      <c r="G42" s="6" t="s">
        <v>30</v>
      </c>
      <c r="H42" s="7" t="s">
        <v>31</v>
      </c>
      <c r="I42" s="5" t="s">
        <v>236</v>
      </c>
    </row>
    <row r="43" customFormat="false" ht="41.75" hidden="false" customHeight="false" outlineLevel="0" collapsed="false">
      <c r="A43" s="5" t="s">
        <v>237</v>
      </c>
      <c r="B43" s="5" t="s">
        <v>238</v>
      </c>
      <c r="C43" s="5" t="s">
        <v>239</v>
      </c>
      <c r="D43" s="5" t="s">
        <v>240</v>
      </c>
      <c r="E43" s="5" t="s">
        <v>241</v>
      </c>
      <c r="F43" s="5" t="s">
        <v>242</v>
      </c>
      <c r="G43" s="6" t="s">
        <v>30</v>
      </c>
      <c r="H43" s="7" t="s">
        <v>31</v>
      </c>
      <c r="I43" s="5" t="s">
        <v>243</v>
      </c>
    </row>
    <row r="44" customFormat="false" ht="41.75" hidden="false" customHeight="false" outlineLevel="0" collapsed="false">
      <c r="A44" s="5" t="s">
        <v>244</v>
      </c>
      <c r="B44" s="5" t="s">
        <v>245</v>
      </c>
      <c r="C44" s="5" t="s">
        <v>246</v>
      </c>
      <c r="D44" s="5" t="s">
        <v>247</v>
      </c>
      <c r="E44" s="5" t="s">
        <v>248</v>
      </c>
      <c r="F44" s="5" t="s">
        <v>249</v>
      </c>
      <c r="G44" s="6" t="s">
        <v>30</v>
      </c>
      <c r="H44" s="9" t="s">
        <v>71</v>
      </c>
      <c r="I44" s="5" t="s">
        <v>247</v>
      </c>
    </row>
    <row r="45" customFormat="false" ht="41.75" hidden="false" customHeight="false" outlineLevel="0" collapsed="false">
      <c r="A45" s="5" t="s">
        <v>250</v>
      </c>
      <c r="B45" s="5" t="s">
        <v>251</v>
      </c>
      <c r="C45" s="5" t="s">
        <v>252</v>
      </c>
      <c r="D45" s="5" t="s">
        <v>253</v>
      </c>
      <c r="E45" s="5" t="s">
        <v>254</v>
      </c>
      <c r="F45" s="5" t="s">
        <v>255</v>
      </c>
      <c r="G45" s="6" t="s">
        <v>30</v>
      </c>
      <c r="H45" s="7" t="s">
        <v>31</v>
      </c>
      <c r="I45" s="5" t="s">
        <v>253</v>
      </c>
    </row>
    <row r="46" customFormat="false" ht="55.2" hidden="false" customHeight="false" outlineLevel="0" collapsed="false">
      <c r="A46" s="5" t="s">
        <v>256</v>
      </c>
      <c r="B46" s="5" t="s">
        <v>257</v>
      </c>
      <c r="C46" s="5" t="s">
        <v>258</v>
      </c>
      <c r="D46" s="5" t="s">
        <v>259</v>
      </c>
      <c r="E46" s="5" t="s">
        <v>260</v>
      </c>
      <c r="F46" s="5" t="s">
        <v>261</v>
      </c>
      <c r="G46" s="6" t="s">
        <v>30</v>
      </c>
      <c r="H46" s="9" t="s">
        <v>71</v>
      </c>
      <c r="I46" s="5" t="s">
        <v>262</v>
      </c>
    </row>
    <row r="47" customFormat="false" ht="55.2" hidden="false" customHeight="false" outlineLevel="0" collapsed="false">
      <c r="A47" s="5" t="s">
        <v>263</v>
      </c>
      <c r="B47" s="5" t="s">
        <v>264</v>
      </c>
      <c r="C47" s="5" t="s">
        <v>265</v>
      </c>
      <c r="D47" s="5" t="s">
        <v>259</v>
      </c>
      <c r="E47" s="5" t="s">
        <v>266</v>
      </c>
      <c r="F47" s="5" t="s">
        <v>267</v>
      </c>
      <c r="G47" s="6" t="s">
        <v>30</v>
      </c>
      <c r="H47" s="9" t="s">
        <v>71</v>
      </c>
      <c r="I47" s="5" t="s">
        <v>268</v>
      </c>
    </row>
    <row r="48" customFormat="false" ht="55.2" hidden="false" customHeight="false" outlineLevel="0" collapsed="false">
      <c r="A48" s="5" t="s">
        <v>269</v>
      </c>
      <c r="B48" s="5" t="s">
        <v>270</v>
      </c>
      <c r="C48" s="5" t="s">
        <v>271</v>
      </c>
      <c r="D48" s="5" t="s">
        <v>209</v>
      </c>
      <c r="E48" s="5" t="s">
        <v>272</v>
      </c>
      <c r="F48" s="5" t="s">
        <v>273</v>
      </c>
      <c r="G48" s="6" t="s">
        <v>30</v>
      </c>
      <c r="H48" s="10" t="s">
        <v>186</v>
      </c>
      <c r="I48" s="5" t="s">
        <v>274</v>
      </c>
    </row>
    <row r="49" customFormat="false" ht="55.2" hidden="false" customHeight="false" outlineLevel="0" collapsed="false">
      <c r="A49" s="5" t="s">
        <v>275</v>
      </c>
      <c r="B49" s="5" t="s">
        <v>276</v>
      </c>
      <c r="C49" s="5" t="s">
        <v>277</v>
      </c>
      <c r="D49" s="5" t="s">
        <v>49</v>
      </c>
      <c r="E49" s="5" t="s">
        <v>278</v>
      </c>
      <c r="F49" s="5" t="s">
        <v>279</v>
      </c>
      <c r="G49" s="8" t="s">
        <v>70</v>
      </c>
      <c r="H49" s="7" t="s">
        <v>31</v>
      </c>
      <c r="I49" s="5" t="s">
        <v>280</v>
      </c>
    </row>
    <row r="50" customFormat="false" ht="68.65" hidden="false" customHeight="false" outlineLevel="0" collapsed="false">
      <c r="A50" s="5" t="s">
        <v>281</v>
      </c>
      <c r="B50" s="5" t="s">
        <v>282</v>
      </c>
      <c r="C50" s="5" t="s">
        <v>283</v>
      </c>
      <c r="D50" s="5" t="s">
        <v>49</v>
      </c>
      <c r="E50" s="5" t="s">
        <v>284</v>
      </c>
      <c r="F50" s="5" t="s">
        <v>285</v>
      </c>
      <c r="G50" s="8" t="s">
        <v>70</v>
      </c>
      <c r="H50" s="7" t="s">
        <v>31</v>
      </c>
      <c r="I50" s="5" t="s">
        <v>286</v>
      </c>
    </row>
    <row r="51" customFormat="false" ht="55.2" hidden="false" customHeight="false" outlineLevel="0" collapsed="false">
      <c r="A51" s="5" t="s">
        <v>287</v>
      </c>
      <c r="B51" s="5" t="s">
        <v>288</v>
      </c>
      <c r="C51" s="5" t="s">
        <v>289</v>
      </c>
      <c r="D51" s="5" t="s">
        <v>49</v>
      </c>
      <c r="E51" s="5" t="s">
        <v>290</v>
      </c>
      <c r="F51" s="5" t="s">
        <v>291</v>
      </c>
      <c r="G51" s="8" t="s">
        <v>70</v>
      </c>
      <c r="H51" s="9" t="s">
        <v>71</v>
      </c>
      <c r="I51" s="5" t="s">
        <v>288</v>
      </c>
    </row>
    <row r="52" customFormat="false" ht="55.2" hidden="false" customHeight="false" outlineLevel="0" collapsed="false">
      <c r="A52" s="5" t="s">
        <v>292</v>
      </c>
      <c r="B52" s="5" t="s">
        <v>293</v>
      </c>
      <c r="C52" s="5" t="s">
        <v>294</v>
      </c>
      <c r="D52" s="5" t="s">
        <v>49</v>
      </c>
      <c r="E52" s="5" t="s">
        <v>295</v>
      </c>
      <c r="F52" s="5" t="s">
        <v>296</v>
      </c>
      <c r="G52" s="8" t="s">
        <v>70</v>
      </c>
      <c r="H52" s="9" t="s">
        <v>71</v>
      </c>
      <c r="I52" s="5" t="s">
        <v>297</v>
      </c>
    </row>
    <row r="53" customFormat="false" ht="55.2" hidden="false" customHeight="false" outlineLevel="0" collapsed="false">
      <c r="A53" s="5" t="s">
        <v>298</v>
      </c>
      <c r="B53" s="5" t="s">
        <v>299</v>
      </c>
      <c r="C53" s="5" t="s">
        <v>300</v>
      </c>
      <c r="D53" s="5" t="s">
        <v>301</v>
      </c>
      <c r="E53" s="5" t="s">
        <v>302</v>
      </c>
      <c r="F53" s="5" t="s">
        <v>303</v>
      </c>
      <c r="G53" s="8" t="s">
        <v>70</v>
      </c>
      <c r="H53" s="9" t="s">
        <v>71</v>
      </c>
      <c r="I53" s="5" t="s">
        <v>301</v>
      </c>
    </row>
    <row r="54" customFormat="false" ht="55.2" hidden="false" customHeight="false" outlineLevel="0" collapsed="false">
      <c r="A54" s="5" t="s">
        <v>304</v>
      </c>
      <c r="B54" s="5" t="s">
        <v>305</v>
      </c>
      <c r="C54" s="5" t="s">
        <v>306</v>
      </c>
      <c r="D54" s="5" t="s">
        <v>307</v>
      </c>
      <c r="E54" s="5" t="s">
        <v>308</v>
      </c>
      <c r="F54" s="5" t="s">
        <v>309</v>
      </c>
      <c r="G54" s="6" t="s">
        <v>30</v>
      </c>
      <c r="H54" s="9" t="s">
        <v>71</v>
      </c>
      <c r="I54" s="5" t="s">
        <v>307</v>
      </c>
    </row>
    <row r="55" customFormat="false" ht="41.75" hidden="false" customHeight="false" outlineLevel="0" collapsed="false">
      <c r="A55" s="5" t="s">
        <v>310</v>
      </c>
      <c r="B55" s="5" t="s">
        <v>311</v>
      </c>
      <c r="C55" s="5" t="s">
        <v>312</v>
      </c>
      <c r="D55" s="5" t="s">
        <v>313</v>
      </c>
      <c r="E55" s="5" t="s">
        <v>314</v>
      </c>
      <c r="F55" s="5" t="s">
        <v>315</v>
      </c>
      <c r="G55" s="6" t="s">
        <v>30</v>
      </c>
      <c r="H55" s="7" t="s">
        <v>31</v>
      </c>
      <c r="I55" s="5" t="s">
        <v>313</v>
      </c>
    </row>
    <row r="56" customFormat="false" ht="41.75" hidden="false" customHeight="false" outlineLevel="0" collapsed="false">
      <c r="A56" s="5" t="s">
        <v>316</v>
      </c>
      <c r="B56" s="5" t="s">
        <v>317</v>
      </c>
      <c r="C56" s="5" t="s">
        <v>318</v>
      </c>
      <c r="D56" s="5" t="s">
        <v>319</v>
      </c>
      <c r="E56" s="5" t="s">
        <v>320</v>
      </c>
      <c r="F56" s="5" t="s">
        <v>321</v>
      </c>
      <c r="G56" s="6" t="s">
        <v>30</v>
      </c>
      <c r="H56" s="7" t="s">
        <v>31</v>
      </c>
      <c r="I56" s="5" t="s">
        <v>319</v>
      </c>
    </row>
    <row r="57" customFormat="false" ht="41.75" hidden="false" customHeight="false" outlineLevel="0" collapsed="false">
      <c r="A57" s="5" t="s">
        <v>322</v>
      </c>
      <c r="B57" s="5" t="s">
        <v>323</v>
      </c>
      <c r="C57" s="5" t="s">
        <v>324</v>
      </c>
      <c r="D57" s="5" t="s">
        <v>94</v>
      </c>
      <c r="E57" s="5" t="s">
        <v>325</v>
      </c>
      <c r="F57" s="5" t="s">
        <v>326</v>
      </c>
      <c r="G57" s="6" t="s">
        <v>30</v>
      </c>
      <c r="H57" s="7" t="s">
        <v>31</v>
      </c>
      <c r="I57" s="5" t="s">
        <v>327</v>
      </c>
    </row>
    <row r="58" customFormat="false" ht="55.2" hidden="false" customHeight="false" outlineLevel="0" collapsed="false">
      <c r="A58" s="5" t="s">
        <v>328</v>
      </c>
      <c r="B58" s="5" t="s">
        <v>329</v>
      </c>
      <c r="C58" s="5" t="s">
        <v>330</v>
      </c>
      <c r="D58" s="5" t="s">
        <v>331</v>
      </c>
      <c r="E58" s="5" t="s">
        <v>332</v>
      </c>
      <c r="F58" s="5" t="s">
        <v>333</v>
      </c>
      <c r="G58" s="6" t="s">
        <v>30</v>
      </c>
      <c r="H58" s="9" t="s">
        <v>71</v>
      </c>
      <c r="I58" s="5" t="s">
        <v>334</v>
      </c>
    </row>
    <row r="59" customFormat="false" ht="41.75" hidden="false" customHeight="false" outlineLevel="0" collapsed="false">
      <c r="A59" s="5" t="s">
        <v>335</v>
      </c>
      <c r="B59" s="5" t="s">
        <v>336</v>
      </c>
      <c r="C59" s="5" t="s">
        <v>337</v>
      </c>
      <c r="D59" s="5" t="s">
        <v>338</v>
      </c>
      <c r="E59" s="5" t="s">
        <v>339</v>
      </c>
      <c r="F59" s="5" t="s">
        <v>340</v>
      </c>
      <c r="G59" s="6" t="s">
        <v>30</v>
      </c>
      <c r="H59" s="7" t="s">
        <v>31</v>
      </c>
      <c r="I59" s="5" t="s">
        <v>338</v>
      </c>
    </row>
    <row r="60" customFormat="false" ht="55.2" hidden="false" customHeight="false" outlineLevel="0" collapsed="false">
      <c r="A60" s="5" t="s">
        <v>341</v>
      </c>
      <c r="B60" s="5" t="s">
        <v>342</v>
      </c>
      <c r="C60" s="5" t="s">
        <v>343</v>
      </c>
      <c r="D60" s="5" t="s">
        <v>344</v>
      </c>
      <c r="E60" s="5" t="s">
        <v>345</v>
      </c>
      <c r="F60" s="5" t="s">
        <v>346</v>
      </c>
      <c r="G60" s="6" t="s">
        <v>30</v>
      </c>
      <c r="H60" s="7" t="s">
        <v>31</v>
      </c>
      <c r="I60" s="5" t="s">
        <v>347</v>
      </c>
    </row>
    <row r="61" customFormat="false" ht="41.75" hidden="false" customHeight="false" outlineLevel="0" collapsed="false">
      <c r="A61" s="5" t="s">
        <v>348</v>
      </c>
      <c r="B61" s="5" t="s">
        <v>349</v>
      </c>
      <c r="C61" s="5" t="s">
        <v>350</v>
      </c>
      <c r="D61" s="5" t="s">
        <v>351</v>
      </c>
      <c r="E61" s="5" t="s">
        <v>352</v>
      </c>
      <c r="F61" s="5" t="s">
        <v>353</v>
      </c>
      <c r="G61" s="6" t="s">
        <v>30</v>
      </c>
      <c r="H61" s="9" t="s">
        <v>71</v>
      </c>
      <c r="I61" s="5" t="s">
        <v>354</v>
      </c>
    </row>
    <row r="62" customFormat="false" ht="41.75" hidden="false" customHeight="false" outlineLevel="0" collapsed="false">
      <c r="A62" s="5" t="s">
        <v>355</v>
      </c>
      <c r="B62" s="5" t="s">
        <v>356</v>
      </c>
      <c r="C62" s="5" t="s">
        <v>357</v>
      </c>
      <c r="D62" s="5" t="s">
        <v>358</v>
      </c>
      <c r="E62" s="5" t="s">
        <v>359</v>
      </c>
      <c r="F62" s="5" t="s">
        <v>360</v>
      </c>
      <c r="G62" s="6" t="s">
        <v>30</v>
      </c>
      <c r="H62" s="9" t="s">
        <v>71</v>
      </c>
      <c r="I62" s="5" t="s">
        <v>361</v>
      </c>
    </row>
    <row r="63" customFormat="false" ht="55.2" hidden="false" customHeight="false" outlineLevel="0" collapsed="false">
      <c r="A63" s="5" t="s">
        <v>362</v>
      </c>
      <c r="B63" s="5" t="s">
        <v>363</v>
      </c>
      <c r="C63" s="5" t="s">
        <v>364</v>
      </c>
      <c r="D63" s="5" t="s">
        <v>133</v>
      </c>
      <c r="E63" s="5" t="s">
        <v>365</v>
      </c>
      <c r="F63" s="5" t="s">
        <v>366</v>
      </c>
      <c r="G63" s="6" t="s">
        <v>30</v>
      </c>
      <c r="H63" s="9" t="s">
        <v>71</v>
      </c>
      <c r="I63" s="5" t="s">
        <v>367</v>
      </c>
    </row>
    <row r="64" customFormat="false" ht="41.75" hidden="false" customHeight="false" outlineLevel="0" collapsed="false">
      <c r="A64" s="5" t="s">
        <v>368</v>
      </c>
      <c r="B64" s="5" t="s">
        <v>369</v>
      </c>
      <c r="C64" s="5" t="s">
        <v>370</v>
      </c>
      <c r="D64" s="5" t="s">
        <v>371</v>
      </c>
      <c r="E64" s="5" t="s">
        <v>372</v>
      </c>
      <c r="F64" s="5" t="s">
        <v>373</v>
      </c>
      <c r="G64" s="6" t="s">
        <v>30</v>
      </c>
      <c r="H64" s="10" t="s">
        <v>186</v>
      </c>
      <c r="I64" s="5" t="s">
        <v>371</v>
      </c>
    </row>
    <row r="65" customFormat="false" ht="41.75" hidden="false" customHeight="false" outlineLevel="0" collapsed="false">
      <c r="A65" s="5" t="s">
        <v>374</v>
      </c>
      <c r="B65" s="5" t="s">
        <v>375</v>
      </c>
      <c r="C65" s="5" t="s">
        <v>376</v>
      </c>
      <c r="D65" s="5" t="s">
        <v>377</v>
      </c>
      <c r="E65" s="5" t="s">
        <v>378</v>
      </c>
      <c r="F65" s="5" t="s">
        <v>379</v>
      </c>
      <c r="G65" s="6" t="s">
        <v>30</v>
      </c>
      <c r="H65" s="10" t="s">
        <v>186</v>
      </c>
      <c r="I65" s="5" t="s">
        <v>380</v>
      </c>
    </row>
    <row r="66" customFormat="false" ht="41.75" hidden="false" customHeight="false" outlineLevel="0" collapsed="false">
      <c r="A66" s="5" t="s">
        <v>381</v>
      </c>
      <c r="B66" s="5" t="s">
        <v>382</v>
      </c>
      <c r="C66" s="5" t="s">
        <v>383</v>
      </c>
      <c r="D66" s="5" t="s">
        <v>384</v>
      </c>
      <c r="E66" s="5" t="s">
        <v>385</v>
      </c>
      <c r="F66" s="5" t="s">
        <v>386</v>
      </c>
      <c r="G66" s="11" t="s">
        <v>387</v>
      </c>
      <c r="H66" s="9" t="s">
        <v>71</v>
      </c>
      <c r="I66" s="5" t="s">
        <v>384</v>
      </c>
    </row>
    <row r="67" customFormat="false" ht="68.65" hidden="false" customHeight="false" outlineLevel="0" collapsed="false">
      <c r="A67" s="5" t="s">
        <v>388</v>
      </c>
      <c r="B67" s="5" t="s">
        <v>389</v>
      </c>
      <c r="C67" s="5" t="s">
        <v>390</v>
      </c>
      <c r="D67" s="5" t="s">
        <v>391</v>
      </c>
      <c r="E67" s="5" t="s">
        <v>392</v>
      </c>
      <c r="F67" s="5" t="s">
        <v>393</v>
      </c>
      <c r="G67" s="8" t="s">
        <v>70</v>
      </c>
      <c r="H67" s="10" t="s">
        <v>186</v>
      </c>
      <c r="I67" s="5" t="s">
        <v>394</v>
      </c>
    </row>
    <row r="68" customFormat="false" ht="55.2" hidden="false" customHeight="false" outlineLevel="0" collapsed="false">
      <c r="A68" s="5" t="s">
        <v>395</v>
      </c>
      <c r="B68" s="5" t="s">
        <v>396</v>
      </c>
      <c r="C68" s="5" t="s">
        <v>397</v>
      </c>
      <c r="D68" s="5" t="s">
        <v>398</v>
      </c>
      <c r="E68" s="5" t="s">
        <v>399</v>
      </c>
      <c r="F68" s="5" t="s">
        <v>400</v>
      </c>
      <c r="G68" s="8" t="s">
        <v>70</v>
      </c>
      <c r="H68" s="9" t="s">
        <v>71</v>
      </c>
      <c r="I68" s="5" t="s">
        <v>396</v>
      </c>
    </row>
    <row r="69" customFormat="false" ht="68.65" hidden="false" customHeight="false" outlineLevel="0" collapsed="false">
      <c r="A69" s="5" t="s">
        <v>401</v>
      </c>
      <c r="B69" s="5" t="s">
        <v>402</v>
      </c>
      <c r="C69" s="5" t="s">
        <v>403</v>
      </c>
      <c r="D69" s="5" t="s">
        <v>404</v>
      </c>
      <c r="E69" s="5" t="s">
        <v>405</v>
      </c>
      <c r="F69" s="5" t="s">
        <v>406</v>
      </c>
      <c r="G69" s="8" t="s">
        <v>70</v>
      </c>
      <c r="H69" s="10" t="s">
        <v>186</v>
      </c>
      <c r="I69" s="5" t="s">
        <v>404</v>
      </c>
    </row>
    <row r="72" customFormat="false" ht="15" hidden="false" customHeight="false" outlineLevel="0" collapsed="false">
      <c r="A72" s="12" t="s">
        <v>407</v>
      </c>
      <c r="B72" s="12"/>
      <c r="C72" s="12"/>
    </row>
    <row r="73" customFormat="false" ht="15" hidden="false" customHeight="false" outlineLevel="0" collapsed="false">
      <c r="A73" s="3" t="s">
        <v>408</v>
      </c>
      <c r="B73" s="2" t="n">
        <f aca="false">COUNTA(A10:A69)</f>
        <v>60</v>
      </c>
    </row>
    <row r="74" customFormat="false" ht="15" hidden="false" customHeight="false" outlineLevel="0" collapsed="false">
      <c r="A74" s="3" t="s">
        <v>409</v>
      </c>
      <c r="B74" s="2" t="n">
        <f aca="false">COUNTIF(H10:H69,"P0")</f>
        <v>28</v>
      </c>
    </row>
    <row r="75" customFormat="false" ht="15" hidden="false" customHeight="false" outlineLevel="0" collapsed="false">
      <c r="A75" s="3" t="s">
        <v>410</v>
      </c>
      <c r="B75" s="2" t="n">
        <f aca="false">COUNTIF(H10:H69,"P1")</f>
        <v>26</v>
      </c>
    </row>
    <row r="76" customFormat="false" ht="15" hidden="false" customHeight="false" outlineLevel="0" collapsed="false">
      <c r="A76" s="3" t="s">
        <v>411</v>
      </c>
      <c r="B76" s="2" t="n">
        <f aca="false">COUNTIF(H10:H69,"P2")</f>
        <v>6</v>
      </c>
    </row>
    <row r="77" customFormat="false" ht="15" hidden="false" customHeight="false" outlineLevel="0" collapsed="false">
      <c r="A77" s="3" t="s">
        <v>412</v>
      </c>
      <c r="B77" s="13" t="n">
        <f aca="false">COUNTIF(G10:G69,"Pass")</f>
        <v>41</v>
      </c>
    </row>
    <row r="78" customFormat="false" ht="15" hidden="false" customHeight="false" outlineLevel="0" collapsed="false">
      <c r="A78" s="3" t="s">
        <v>413</v>
      </c>
      <c r="B78" s="14" t="n">
        <f aca="false">COUNTIF(G10:G69,"Fail")</f>
        <v>18</v>
      </c>
    </row>
    <row r="79" customFormat="false" ht="15" hidden="false" customHeight="false" outlineLevel="0" collapsed="false">
      <c r="A79" s="3" t="s">
        <v>414</v>
      </c>
      <c r="B79" s="15" t="n">
        <f aca="false">COUNTIF(G10:G69,"N/A")</f>
        <v>1</v>
      </c>
    </row>
    <row r="80" customFormat="false" ht="15" hidden="false" customHeight="false" outlineLevel="0" collapsed="false">
      <c r="A80" s="3" t="s">
        <v>415</v>
      </c>
      <c r="B80" s="15" t="n">
        <f aca="false">COUNTIF(G10:G69,"Not Executed")</f>
        <v>0</v>
      </c>
    </row>
    <row r="81" customFormat="false" ht="15" hidden="false" customHeight="false" outlineLevel="0" collapsed="false">
      <c r="A81" s="3" t="s">
        <v>416</v>
      </c>
      <c r="B81" s="0" t="str">
        <f aca="false">ROUND(B77/(B73-B79)*100,1)&amp;"%"</f>
        <v>69.5%</v>
      </c>
    </row>
  </sheetData>
  <mergeCells count="1">
    <mergeCell ref="A72:C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2026-03-11T14:00:26Z</dcterms:created>
  <dc:creator>openpyxl</dc:creator>
  <dc:description/>
  <dc:language>en-US</dc:language>
  <cp:lastModifiedBy/>
  <dcterms:modified xsi:type="dcterms:W3CDTF">2026-03-13T18:04:00Z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