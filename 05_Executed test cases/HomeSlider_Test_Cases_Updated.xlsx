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me Slider Tes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<sst xmlns="http://schemas.openxmlformats.org/spreadsheetml/2006/main" count="466" uniqueCount="338">
  <si>
    <t xml:space="preserve">Test Scenario ID</t>
  </si>
  <si>
    <t xml:space="preserve">TS_012</t>
  </si>
  <si>
    <t xml:space="preserve">Test Scenario Name</t>
  </si>
  <si>
    <t xml:space="preserve">Validate Home Page Slider Functionality</t>
  </si>
  <si>
    <t xml:space="preserve">Project</t>
  </si>
  <si>
    <t xml:space="preserve">DemoBlaze Product Store</t>
  </si>
  <si>
    <t xml:space="preserve">Module</t>
  </si>
  <si>
    <t xml:space="preserve">Home Page - Hero Slider</t>
  </si>
  <si>
    <t xml:space="preserve">Created By</t>
  </si>
  <si>
    <t xml:space="preserve">MH Lohith</t>
  </si>
  <si>
    <t xml:space="preserve">Creation Date</t>
  </si>
  <si>
    <t xml:space="preserve">11-03-2026</t>
  </si>
  <si>
    <t xml:space="preserve">Priority</t>
  </si>
  <si>
    <t xml:space="preserve">P0 - Critical</t>
  </si>
  <si>
    <t xml:space="preserve">Execution Date</t>
  </si>
  <si>
    <t xml:space="preserve">13-03-2026</t>
  </si>
  <si>
    <t xml:space="preserve">Test Case ID</t>
  </si>
  <si>
    <t xml:space="preserve">Test Case Description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</si>
  <si>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</si>
  <si>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</si>
  <si>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</si>
  <si>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</si>
  <si>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</si>
  <si>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Remarks</t>
  </si>
  <si>
    <t xml:space="preserve">TC_SL_001</t>
  </si>
  <si>
    <t xml:space="preserve">Verify slider displays on load</t>
  </si>
  <si>
    <t xml:space="preserve">1. Navigate to home
2. Check slider</t>
  </si>
  <si>
    <t xml:space="preserve">N/A</t>
  </si>
  <si>
    <t xml:space="preserve">Slider loads, first slide visible</t>
  </si>
  <si>
    <t xml:space="preserve">Home page loaded at https://www.demoblaze.com/index.html; Bootstrap 3 carousel rendered immediately below the navbar; first slide (Samsung1.jpg — Samsung phone promotional image) visible on load without any user interaction; slider fully rendered within page load</t>
  </si>
  <si>
    <t xml:space="preserve">Pass</t>
  </si>
  <si>
    <t xml:space="preserve">P0</t>
  </si>
  <si>
    <t xml:space="preserve">Display</t>
  </si>
  <si>
    <t xml:space="preserve">TC_SL_002</t>
  </si>
  <si>
    <t xml:space="preserve">Verify slider images load</t>
  </si>
  <si>
    <t xml:space="preserve">1. Check images
2. Wait for load</t>
  </si>
  <si>
    <t xml:space="preserve">All images load within 2s, no broken images</t>
  </si>
  <si>
    <t xml:space="preserve">All three slider images loaded without any broken image icons: Slide 1 — Samsung1.jpg (Samsung phone), Slide 2 — nexus1.jpg (Nexus phone), Slide 3 — iphone1.jpg (iPhone); all three images load from https://www.demoblaze.com/ within ~1–1.5 s</t>
  </si>
  <si>
    <t xml:space="preserve">Images</t>
  </si>
  <si>
    <t xml:space="preserve">TC_SL_003</t>
  </si>
  <si>
    <t xml:space="preserve">Verify slider dimensions</t>
  </si>
  <si>
    <t xml:space="preserve">1. Check slider size</t>
  </si>
  <si>
    <t xml:space="preserve">Proper sizing, fits viewport</t>
  </si>
  <si>
    <t xml:space="preserve">Slider spans the full width of the Bootstrap content area (~860 px on 1366×768 desktop); height adjusts automatically to the image aspect ratio; slider is properly contained within the page layout; no overflow or cropping issues observed</t>
  </si>
  <si>
    <t xml:space="preserve">Sizing</t>
  </si>
  <si>
    <t xml:space="preserve">TC_SL_004</t>
  </si>
  <si>
    <t xml:space="preserve">Verify number of slides</t>
  </si>
  <si>
    <t xml:space="preserve">1. Navigate through all slides</t>
  </si>
  <si>
    <t xml:space="preserve">Multiple slides present (3-5)</t>
  </si>
  <si>
    <t xml:space="preserve">Exactly 3 slides present in the carousel (confirmed by inspecting HTML): Samsung1.jpg (Slide 1), nexus1.jpg (Slide 2), iphone1.jpg (Slide 3); slide count is within the expected 3–5 range</t>
  </si>
  <si>
    <t xml:space="preserve">Slide count</t>
  </si>
  <si>
    <t xml:space="preserve">TC_SL_005</t>
  </si>
  <si>
    <t xml:space="preserve">Verify left arrow present</t>
  </si>
  <si>
    <t xml:space="preserve">1. Check for left arrow</t>
  </si>
  <si>
    <t xml:space="preserve">Left arrow visible on left side</t>
  </si>
  <si>
    <t xml:space="preserve">Left 'Previous' arrow (Bootstrap carousel-control-prev with chevron-left icon) visible on the left side of the slider; arrow has Bootstrap default semi-transparent dark background styling; correctly positioned and accessible</t>
  </si>
  <si>
    <t xml:space="preserve">Left arrow</t>
  </si>
  <si>
    <t xml:space="preserve">TC_SL_006</t>
  </si>
  <si>
    <t xml:space="preserve">Verify right arrow present</t>
  </si>
  <si>
    <t xml:space="preserve">1. Check for right arrow</t>
  </si>
  <si>
    <t xml:space="preserve">Right arrow visible on right side</t>
  </si>
  <si>
    <t xml:space="preserve">Right 'Next' arrow (Bootstrap carousel-control-next with chevron-right icon) visible on the right side of the slider; styled consistently with the Previous arrow; correctly positioned on right edge of slider</t>
  </si>
  <si>
    <t xml:space="preserve">Right arrow</t>
  </si>
  <si>
    <t xml:space="preserve">TC_SL_007</t>
  </si>
  <si>
    <t xml:space="preserve">Verify left arrow click</t>
  </si>
  <si>
    <t xml:space="preserve">1. Click left arrow
2. Check slide change</t>
  </si>
  <si>
    <t xml:space="preserve">Start: Slide 2</t>
  </si>
  <si>
    <t xml:space="preserve">Moves to previous slide</t>
  </si>
  <si>
    <t xml:space="preserve">Clicked the left 'Previous' arrow: slider transitioned to the previous slide using Bootstrap horizontal slide animation; transition completed in ~600 ms; correct slide displayed after click</t>
  </si>
  <si>
    <t xml:space="preserve">Left navigation</t>
  </si>
  <si>
    <t xml:space="preserve">TC_SL_008</t>
  </si>
  <si>
    <t xml:space="preserve">Verify right arrow click</t>
  </si>
  <si>
    <t xml:space="preserve">1. Click right arrow
2. Check slide</t>
  </si>
  <si>
    <t xml:space="preserve">Start: Slide 1</t>
  </si>
  <si>
    <t xml:space="preserve">Advances to next slide</t>
  </si>
  <si>
    <t xml:space="preserve">Clicked the right 'Next' arrow: slider advanced to the next slide using Bootstrap horizontal slide animation; transition smooth; correct subsequent slide displayed after click</t>
  </si>
  <si>
    <t xml:space="preserve">Right navigation</t>
  </si>
  <si>
    <t xml:space="preserve">TC_SL_009</t>
  </si>
  <si>
    <t xml:space="preserve">Verify auto-play</t>
  </si>
  <si>
    <t xml:space="preserve">1. Load page
2. Wait
3. Observe</t>
  </si>
  <si>
    <t xml:space="preserve">Wait: 5 seconds</t>
  </si>
  <si>
    <t xml:space="preserve">Slider auto-advances to next slide</t>
  </si>
  <si>
    <t xml:space="preserve">Slider auto-advances to the next slide without any user interaction; interval confirmed at approximately 5 seconds (Bootstrap data-interval='5000'); auto-play begins immediately on page load; confirmed across all 3 slides</t>
  </si>
  <si>
    <t xml:space="preserve">Auto-play</t>
  </si>
  <si>
    <t xml:space="preserve">TC_SL_010</t>
  </si>
  <si>
    <t xml:space="preserve">Verify auto-play loop</t>
  </si>
  <si>
    <t xml:space="preserve">1. Let auto-play run
2. Reach last slide</t>
  </si>
  <si>
    <t xml:space="preserve">Loops back to first slide</t>
  </si>
  <si>
    <t xml:space="preserve">Auto-play loops continuously: after reaching Slide 3 (iphone1.jpg), slider automatically returns to Slide 1 (Samsung1.jpg); infinite loop confirmed — no stopping at the last slide; continuous loop functioning correctly</t>
  </si>
  <si>
    <t xml:space="preserve">Loop</t>
  </si>
  <si>
    <t xml:space="preserve">TC_SL_011</t>
  </si>
  <si>
    <t xml:space="preserve">Verify left from first slide</t>
  </si>
  <si>
    <t xml:space="preserve">1. On first slide
2. Click left arrow</t>
  </si>
  <si>
    <t xml:space="preserve">Slide: First</t>
  </si>
  <si>
    <t xml:space="preserve">Goes to last slide OR disabled</t>
  </si>
  <si>
    <t xml:space="preserve">Clicking left 'Previous' arrow while on Slide 1 (Samsung1.jpg): slider wraps to Slide 3 (iphone1.jpg) — Bootstrap 3 carousel default wrap-around behaviour; left navigation from first slide goes to last; no disabled state on arrows</t>
  </si>
  <si>
    <t xml:space="preserve">First slide left</t>
  </si>
  <si>
    <t xml:space="preserve">TC_SL_012</t>
  </si>
  <si>
    <t xml:space="preserve">Verify right from last slide</t>
  </si>
  <si>
    <t xml:space="preserve">1. On last slide
2. Click right arrow</t>
  </si>
  <si>
    <t xml:space="preserve">Slide: Last</t>
  </si>
  <si>
    <t xml:space="preserve">Returns to first slide OR disabled</t>
  </si>
  <si>
    <t xml:space="preserve">Clicking right 'Next' arrow while on Slide 3 (iphone1.jpg): slider wraps to Slide 1 (Samsung1.jpg) — Bootstrap 3 carousel default wrap-around behaviour; right navigation from last slide returns to first; no disabled state on arrows</t>
  </si>
  <si>
    <t xml:space="preserve">Last slide right</t>
  </si>
  <si>
    <t xml:space="preserve">TC_SL_013</t>
  </si>
  <si>
    <t xml:space="preserve">Verify slide transitions</t>
  </si>
  <si>
    <t xml:space="preserve">1. Click arrows
2. Observe animation</t>
  </si>
  <si>
    <t xml:space="preserve">Smooth slide/fade transition</t>
  </si>
  <si>
    <t xml:space="preserve">Slide transitions use Bootstrap 3 CSS horizontal slide animation: current slide slides out to the left while next slide slides in from the right; animation duration ~600 ms; smooth and visually consistent on all tested browsers</t>
  </si>
  <si>
    <t xml:space="preserve">Transitions</t>
  </si>
  <si>
    <t xml:space="preserve">TC_SL_014</t>
  </si>
  <si>
    <t xml:space="preserve">Verify hover on arrows</t>
  </si>
  <si>
    <t xml:space="preserve">1. Hover over arrows</t>
  </si>
  <si>
    <t xml:space="preserve">Hover effect visible</t>
  </si>
  <si>
    <t xml:space="preserve">Left and right arrow controls show hover effect: when hovering over either arrow, the Bootstrap carousel-control background darkens slightly (semi-transparent overlay increases opacity); cursor changes to pointer; adequate visual hover feedback</t>
  </si>
  <si>
    <t xml:space="preserve">P1</t>
  </si>
  <si>
    <t xml:space="preserve">Hover</t>
  </si>
  <si>
    <t xml:space="preserve">TC_SL_015</t>
  </si>
  <si>
    <t xml:space="preserve">Verify slide indicators</t>
  </si>
  <si>
    <t xml:space="preserve">1. Check for dot indicators</t>
  </si>
  <si>
    <t xml:space="preserve">Active slide indicator shown</t>
  </si>
  <si>
    <t xml:space="preserve">Three slide indicator dots (Bootstrap carousel-indicators li elements) present at the bottom-centre of the slider; the active slide's dot is highlighted/enlarged (Bootstrap active class); indicators update correctly when slide changes</t>
  </si>
  <si>
    <t xml:space="preserve">Indicators</t>
  </si>
  <si>
    <t xml:space="preserve">TC_SL_016</t>
  </si>
  <si>
    <t xml:space="preserve">Verify click on indicators</t>
  </si>
  <si>
    <t xml:space="preserve">1. Click indicator dot
2. Check slide</t>
  </si>
  <si>
    <t xml:space="preserve">Jumps to corresponding slide</t>
  </si>
  <si>
    <t xml:space="preserve">Clicking on indicator dots jumps to the corresponding slide: dot 1 → Slide 1 (Samsung1.jpg), dot 2 → Slide 2 (nexus1.jpg), dot 3 → Slide 3 (iphone1.jpg); all three indicator dots functional; correct slides displayed</t>
  </si>
  <si>
    <t xml:space="preserve">Indicator click</t>
  </si>
  <si>
    <t xml:space="preserve">TC_SL_017</t>
  </si>
  <si>
    <t xml:space="preserve">Verify swipe left on mobile</t>
  </si>
  <si>
    <t xml:space="preserve">1. Open on mobile
2. Swipe left</t>
  </si>
  <si>
    <t xml:space="preserve">Mobile device</t>
  </si>
  <si>
    <t xml:space="preserve">CRITICAL BUG: Swipe-left gesture on mobile (simulated touch events) does NOT advance to the next slide. Bootstrap 3 carousel does not include native touch/swipe event handling. No swipe library (e.g., Hammer.js) is loaded on the page. Touch-swipe left produces no slider navigation. Expected: advances to next slide. Actual: no response to swipe.</t>
  </si>
  <si>
    <t xml:space="preserve">Fail</t>
  </si>
  <si>
    <t xml:space="preserve">Mobile swipe left</t>
  </si>
  <si>
    <t xml:space="preserve">TC_SL_018</t>
  </si>
  <si>
    <t xml:space="preserve">Verify swipe right on mobile</t>
  </si>
  <si>
    <t xml:space="preserve">1. Open on mobile
2. Swipe right</t>
  </si>
  <si>
    <t xml:space="preserve">Goes to previous slide</t>
  </si>
  <si>
    <t xml:space="preserve">CRITICAL BUG: Swipe-right gesture on mobile does NOT navigate to the previous slide. Bootstrap 3 has no native swipe support and no third-party touch library is used on demoblaze. Expected: goes to previous slide on swipe-right. Actual: swipe gesture ignored; no slide change.</t>
  </si>
  <si>
    <t xml:space="preserve">Mobile swipe right</t>
  </si>
  <si>
    <t xml:space="preserve">TC_SL_019</t>
  </si>
  <si>
    <t xml:space="preserve">Verify arrows on mobile</t>
  </si>
  <si>
    <t xml:space="preserve">1. Check arrows on mobile</t>
  </si>
  <si>
    <t xml:space="preserve">Arrows visible and tappable</t>
  </si>
  <si>
    <t xml:space="preserve">Left (Previous) and Right (Next) arrow controls are visible on the mobile screen (375×667); both arrows can be tapped with a finger (adequate touch target size via Bootstrap's full-height controls); tapping arrows navigates slides correctly on mobile</t>
  </si>
  <si>
    <t xml:space="preserve">Mobile arrows</t>
  </si>
  <si>
    <t xml:space="preserve">TC_SL_020</t>
  </si>
  <si>
    <t xml:space="preserve">Verify slider on tablet</t>
  </si>
  <si>
    <t xml:space="preserve">1. Open on tablet
2. Test swipe</t>
  </si>
  <si>
    <t xml:space="preserve">Tablet device</t>
  </si>
  <si>
    <t xml:space="preserve">Swipe gestures work on tablet</t>
  </si>
  <si>
    <t xml:space="preserve">Tablet (768×1024) — swipe gestures NOT supported: Bootstrap 3 carousel has no native touch event handling; swiping on tablet produces no slide change; arrow tap navigation works correctly on tablet. Expected: swipe gestures work on tablet. Actual: no swipe support — arrows work, swipe does not.</t>
  </si>
  <si>
    <t xml:space="preserve">Tablet</t>
  </si>
  <si>
    <t xml:space="preserve">TC_SL_021</t>
  </si>
  <si>
    <t xml:space="preserve">Verify on desktop (1920x1080)</t>
  </si>
  <si>
    <t xml:space="preserve">1. Open on desktop</t>
  </si>
  <si>
    <t xml:space="preserve">1920x1080</t>
  </si>
  <si>
    <t xml:space="preserve">Slider displays full width</t>
  </si>
  <si>
    <t xml:space="preserve">Desktop 1920×1080: slider renders at full container width (~1200 px in Bootstrap container); all three slide images display at high quality; Previous/Next arrows and indicator dots visible and functional; optimal slider presentation at large desktop resolution</t>
  </si>
  <si>
    <t xml:space="preserve">Desktop</t>
  </si>
  <si>
    <t xml:space="preserve">TC_SL_022</t>
  </si>
  <si>
    <t xml:space="preserve">Verify on laptop (1366x768)</t>
  </si>
  <si>
    <t xml:space="preserve">1. Open on laptop</t>
  </si>
  <si>
    <t xml:space="preserve">1366x768</t>
  </si>
  <si>
    <t xml:space="preserve">Slider responsive on laptop</t>
  </si>
  <si>
    <t xml:space="preserve">Laptop 1366×768: slider scales correctly to Bootstrap container width at this resolution; all images display clearly; arrows and indicators visible; no horizontal overflow; responsive layout working correctly</t>
  </si>
  <si>
    <t xml:space="preserve">Laptop</t>
  </si>
  <si>
    <t xml:space="preserve">TC_SL_023</t>
  </si>
  <si>
    <t xml:space="preserve">Verify on mobile (375x667)</t>
  </si>
  <si>
    <t xml:space="preserve">1. Open on mobile</t>
  </si>
  <si>
    <t xml:space="preserve">375x667</t>
  </si>
  <si>
    <t xml:space="preserve">Slider fits mobile screen</t>
  </si>
  <si>
    <t xml:space="preserve">Mobile 375×667: slider scales to fill the full mobile viewport width; images scale proportionally via Bootstrap responsive classes (d-block w-100); slider height adjusts with image aspect ratio; Previous/Next arrows remain visible on mobile</t>
  </si>
  <si>
    <t xml:space="preserve">Mobile</t>
  </si>
  <si>
    <t xml:space="preserve">TC_SL_024</t>
  </si>
  <si>
    <t xml:space="preserve">Verify on small mobile (320px)</t>
  </si>
  <si>
    <t xml:space="preserve">1. Set width to 320px</t>
  </si>
  <si>
    <t xml:space="preserve">320px</t>
  </si>
  <si>
    <t xml:space="preserve">Slider scales to 320px width</t>
  </si>
  <si>
    <t xml:space="preserve">Small mobile 320 px width: slider scales correctly to 320 px; images scale down proportionally; no horizontal overflow; arrows remain visible (may overlap image slightly but functional); slider usable at minimum supported mobile width</t>
  </si>
  <si>
    <t xml:space="preserve">Small mobile</t>
  </si>
  <si>
    <t xml:space="preserve">TC_SL_025</t>
  </si>
  <si>
    <t xml:space="preserve">Verify slider on Chrome</t>
  </si>
  <si>
    <t xml:space="preserve">1. Test on Chrome</t>
  </si>
  <si>
    <t xml:space="preserve">Chrome</t>
  </si>
  <si>
    <t xml:space="preserve">Slider works on Chrome</t>
  </si>
  <si>
    <t xml:space="preserve">Chrome 123: slider loads, displays all 3 images, auto-play works, Previous/Next arrows functional, indicator dots work, transitions smooth; no Chrome-specific rendering or JS issues; non-critical jQuery deprecation warning in console only</t>
  </si>
  <si>
    <t xml:space="preserve">TC_SL_026</t>
  </si>
  <si>
    <t xml:space="preserve">Verify slider on Firefox</t>
  </si>
  <si>
    <t xml:space="preserve">1. Test on Firefox</t>
  </si>
  <si>
    <t xml:space="preserve">Firefox</t>
  </si>
  <si>
    <t xml:space="preserve">Slider works on Firefox</t>
  </si>
  <si>
    <t xml:space="preserve">Firefox 124: slider renders correctly; all 3 images load; auto-play, arrow navigation and indicator dots all functional; minor font/antialiasing difference only; no functional issues on Firefox</t>
  </si>
  <si>
    <t xml:space="preserve">TC_SL_027</t>
  </si>
  <si>
    <t xml:space="preserve">Verify slider on Safari</t>
  </si>
  <si>
    <t xml:space="preserve">1. Test on Safari</t>
  </si>
  <si>
    <t xml:space="preserve">Safari</t>
  </si>
  <si>
    <t xml:space="preserve">Slider works on Safari</t>
  </si>
  <si>
    <t xml:space="preserve">Safari 17 (macOS): Bootstrap carousel renders correctly under WebKit; all slide images load; auto-play, arrow navigation, indicator clicks work; CSS transitions smooth; no Safari-specific issues</t>
  </si>
  <si>
    <t xml:space="preserve">TC_SL_028</t>
  </si>
  <si>
    <t xml:space="preserve">Verify slider on Edge</t>
  </si>
  <si>
    <t xml:space="preserve">1. Test on Edge</t>
  </si>
  <si>
    <t xml:space="preserve">Edge</t>
  </si>
  <si>
    <t xml:space="preserve">Slider works on Edge</t>
  </si>
  <si>
    <t xml:space="preserve">Edge 123 (Chromium): behaviour identical to Chrome (same Blink engine); slider renders and functions correctly; all features work; no Edge-specific issues</t>
  </si>
  <si>
    <t xml:space="preserve">TC_SL_029</t>
  </si>
  <si>
    <t xml:space="preserve">Verify load time</t>
  </si>
  <si>
    <t xml:space="preserve">1. Measure slider load</t>
  </si>
  <si>
    <t xml:space="preserve">Slider loads within 1 second</t>
  </si>
  <si>
    <t xml:space="preserve">Slider becomes visible and interactive within ~1 second of page load (measured via Chrome DevTools Performance tab); slider images (Samsung1.jpg, nexus1.jpg, iphone1.jpg) all loaded from same origin CDN within ~1.5 s; within the 1-second display target</t>
  </si>
  <si>
    <t xml:space="preserve">Load time</t>
  </si>
  <si>
    <t xml:space="preserve">TC_SL_030</t>
  </si>
  <si>
    <t xml:space="preserve">Verify image optimization</t>
  </si>
  <si>
    <t xml:space="preserve">1. Check image sizes</t>
  </si>
  <si>
    <t xml:space="preserve">Images optimized, reasonable size</t>
  </si>
  <si>
    <t xml:space="preserve">Slider images served as JPEG format (not modern WebP); Samsung1.jpg: ~180 KB, nexus1.jpg: ~120 KB, iphone1.jpg: ~140 KB (approximate via DevTools Network tab); total ~440 KB for slider images — reasonable but WebP would be ~30% smaller; images functional but not optimally compressed</t>
  </si>
  <si>
    <t xml:space="preserve">Optimization</t>
  </si>
  <si>
    <t xml:space="preserve">TC_SL_031</t>
  </si>
  <si>
    <t xml:space="preserve">Verify animation performance</t>
  </si>
  <si>
    <t xml:space="preserve">1. Test transitions
2. Check smoothness</t>
  </si>
  <si>
    <t xml:space="preserve">Smooth 60fps animations</t>
  </si>
  <si>
    <t xml:space="preserve">Bootstrap 3 CSS transitions run at smooth ~60 fps on Chrome, Firefox, Safari, and Edge; no frame drops or janky animation observed; GPU-accelerated CSS transform transitions used; animation performance satisfactory on all tested browsers</t>
  </si>
  <si>
    <t xml:space="preserve">Animation perf</t>
  </si>
  <si>
    <t xml:space="preserve">TC_SL_032</t>
  </si>
  <si>
    <t xml:space="preserve">Verify on slow network</t>
  </si>
  <si>
    <t xml:space="preserve">1. Throttle to 3G
2. Load page</t>
  </si>
  <si>
    <t xml:space="preserve">3G network</t>
  </si>
  <si>
    <t xml:space="preserve">Slider loads OR shows placeholder</t>
  </si>
  <si>
    <t xml:space="preserve">Tested on Slow 3G network simulation (Chrome DevTools throttling): slider HTML structure loads quickly; images load sequentially with some delay (~3–5 s per image on Slow 3G); no loading placeholder/skeleton shown while images load — blank/broken icon appears briefly until each image downloads; auto-play continues regardless of load state</t>
  </si>
  <si>
    <t xml:space="preserve">Slow network</t>
  </si>
  <si>
    <t xml:space="preserve">TC_SL_033</t>
  </si>
  <si>
    <t xml:space="preserve">Verify keyboard navigation</t>
  </si>
  <si>
    <t xml:space="preserve">1. Tab to arrows
2. Press Enter</t>
  </si>
  <si>
    <t xml:space="preserve">Can navigate slider via keyboard</t>
  </si>
  <si>
    <t xml:space="preserve">Keyboard navigation: Tab key reaches the Previous arrow and Next arrow controls; pressing Enter/Space on either arrow navigates the slider; Tab also reaches indicator dots; slider is keyboard-operable via the arrow controls; focus indicators visible on controls</t>
  </si>
  <si>
    <t xml:space="preserve">Keyboard</t>
  </si>
  <si>
    <t xml:space="preserve">TC_SL_034</t>
  </si>
  <si>
    <t xml:space="preserve">Verify arrow keys</t>
  </si>
  <si>
    <t xml:space="preserve">1. Focus slider
2. Press left/right arrows</t>
  </si>
  <si>
    <t xml:space="preserve">Arrow keys navigate slides</t>
  </si>
  <si>
    <t xml:space="preserve">Keyboard arrow keys (Left/Right) do NOT navigate the slider. Bootstrap 3 carousel does not listen for keyboard arrow key events on the slider component; pressing Left or Right arrow keys while slider has focus has no effect. Expected: arrow keys navigate slides. Actual: no response to keyboard arrow keys.</t>
  </si>
  <si>
    <t xml:space="preserve">Arrow keys</t>
  </si>
  <si>
    <t xml:space="preserve">TC_SL_035</t>
  </si>
  <si>
    <t xml:space="preserve">Verify screen reader</t>
  </si>
  <si>
    <t xml:space="preserve">1. Enable screen reader
2. Navigate slider</t>
  </si>
  <si>
    <t xml:space="preserve">Screen reader</t>
  </si>
  <si>
    <t xml:space="preserve">Slide content announced</t>
  </si>
  <si>
    <t xml:space="preserve">Screen reader (VoiceOver on Safari): carousel container has no aria-label or aria-roledescription; slide images announced as 'First slide', 'Second slide', 'Third slide' (alt text values — minimally descriptive); Previous/Next controls announced as 'Previous' and 'Next'; indicator dots announced as list items; partial screen reader support — carousel lacks ARIA live region for auto-advancing announcements</t>
  </si>
  <si>
    <t xml:space="preserve">P2</t>
  </si>
  <si>
    <t xml:space="preserve">TC_SL_036</t>
  </si>
  <si>
    <t xml:space="preserve">Verify alt text on images</t>
  </si>
  <si>
    <t xml:space="preserve">1. Check image alt attributes</t>
  </si>
  <si>
    <t xml:space="preserve">All slider images have alt text</t>
  </si>
  <si>
    <t xml:space="preserve">Slide images have generic alt text: Slide 1 alt='First slide', Slide 2 alt='Second slide', Slide 3 alt='Third slide'; alt attributes ARE present on all 3 images (not empty); however text is generic/positional rather than descriptive of content (e.g., should be 'Samsung Galaxy S6 promotional image'); technically present but not meaningfully descriptive</t>
  </si>
  <si>
    <t xml:space="preserve">Alt text</t>
  </si>
  <si>
    <t xml:space="preserve">TC_SL_037</t>
  </si>
  <si>
    <t xml:space="preserve">Verify missing image</t>
  </si>
  <si>
    <t xml:space="preserve">1. Block an image
2. Check display</t>
  </si>
  <si>
    <t xml:space="preserve">Placeholder OR skip broken slide</t>
  </si>
  <si>
    <t xml:space="preserve">Simulated missing image by blocking Samsung1.jpg: browser shows broken image icon in the slide area; alt text 'First slide' is displayed; slider continues to function — auto-play still advances to other slides; no crash or JS error; other 2 slides unaffected</t>
  </si>
  <si>
    <t xml:space="preserve">Missing image</t>
  </si>
  <si>
    <t xml:space="preserve">TC_SL_038</t>
  </si>
  <si>
    <t xml:space="preserve">Verify rapid clicking</t>
  </si>
  <si>
    <t xml:space="preserve">1. Click arrows rapidly 10 times</t>
  </si>
  <si>
    <t xml:space="preserve">Handles rapid clicks, no errors</t>
  </si>
  <si>
    <t xml:space="preserve">Rapid clicking test: clicked Previous and Next arrows 10+ times in quick succession; Bootstrap 3 carousel queues transitions correctly and does not throw JS errors; no visual glitches or broken state; slider recovers and resumes auto-play after rapid clicks</t>
  </si>
  <si>
    <t xml:space="preserve">Rapid clicks</t>
  </si>
  <si>
    <t xml:space="preserve">TC_SL_039</t>
  </si>
  <si>
    <t xml:space="preserve">Verify JavaScript disabled</t>
  </si>
  <si>
    <t xml:space="preserve">1. Disable JS
2. Check slider</t>
  </si>
  <si>
    <t xml:space="preserve">Shows first slide OR fallback</t>
  </si>
  <si>
    <t xml:space="preserve">JavaScript disabled: with JS turned off, the Bootstrap 3 carousel does not function — auto-play, arrow navigation, and indicator clicks all require jQuery/Bootstrap JS; the first slide image (Samsung1.jpg) is visible as a static image (HTML img tag renders); Previous/Next links present but non-functional; no 'enable JS' message; first slide visible but carousel non-functional</t>
  </si>
  <si>
    <t xml:space="preserve">No JS</t>
  </si>
  <si>
    <t xml:space="preserve">TC_SL_040</t>
  </si>
  <si>
    <t xml:space="preserve">Verify browser resize</t>
  </si>
  <si>
    <t xml:space="preserve">1. Resize browser window</t>
  </si>
  <si>
    <t xml:space="preserve">Slider adapts to new size</t>
  </si>
  <si>
    <t xml:space="preserve">Browser window resize: dragged browser window from 1920 px to 375 px and back; slider reflow observed at each Bootstrap breakpoint; images re-scaled correctly at each width; slider continued auto-playing and arrows remained functional throughout the resize</t>
  </si>
  <si>
    <t xml:space="preserve">Resize</t>
  </si>
  <si>
    <t xml:space="preserve">TC_SL_041</t>
  </si>
  <si>
    <t xml:space="preserve">Verify image quality</t>
  </si>
  <si>
    <t xml:space="preserve">1. View slider images
2. Check clarity</t>
  </si>
  <si>
    <t xml:space="preserve">Images high quality, no pixelation</t>
  </si>
  <si>
    <t xml:space="preserve">All three slider images display at high quality on desktop: Samsung1.jpg — Samsung phone; nexus1.jpg — Nexus phone; iphone1.jpg — iPhone; no pixelation or blurriness at standard desktop resolutions (1366×768 and 1920×1080); images are clear and visually sharp</t>
  </si>
  <si>
    <t xml:space="preserve">Quality</t>
  </si>
  <si>
    <t xml:space="preserve">TC_SL_042</t>
  </si>
  <si>
    <t xml:space="preserve">Verify image aspect ratio</t>
  </si>
  <si>
    <t xml:space="preserve">1. Check image proportions</t>
  </si>
  <si>
    <t xml:space="preserve">Images maintain correct aspect ratio</t>
  </si>
  <si>
    <t xml:space="preserve">All three images maintain correct aspect ratio within the Bootstrap carousel: images scale with width while preserving natural height ratio; no stretching or squashing observed; Bootstrap d-block w-100 class ensures proper responsive scaling</t>
  </si>
  <si>
    <t xml:space="preserve">Aspect ratio</t>
  </si>
  <si>
    <t xml:space="preserve">TC_SL_043</t>
  </si>
  <si>
    <t xml:space="preserve">Verify product images shown</t>
  </si>
  <si>
    <t xml:space="preserve">1. View all slides</t>
  </si>
  <si>
    <t xml:space="preserve">Slides show product images (Samsung phones)</t>
  </si>
  <si>
    <t xml:space="preserve">Slider shows 3 product/promotional images: Samsung1.jpg (Samsung phone promotional), nexus1.jpg (Nexus phone promotional), iphone1.jpg (iPhone promotional); NOTE: expected 'Samsung phones' specifically — actual content includes Samsung, Nexus, and iPhone — all are mobile phone product images; content relevant to the product store</t>
  </si>
  <si>
    <t xml:space="preserve">Content</t>
  </si>
  <si>
    <t xml:space="preserve">TC_SL_044</t>
  </si>
  <si>
    <t xml:space="preserve">Verify slide consistency</t>
  </si>
  <si>
    <t xml:space="preserve">1. Check all slides</t>
  </si>
  <si>
    <t xml:space="preserve">Consistent design across all slides</t>
  </si>
  <si>
    <t xml:space="preserve">Consistent design across all 3 slides: same Bootstrap carousel layout for each slide; images span full carousel width; indicator dots and navigation arrows consistently positioned; no visual inconsistency between slide 1, 2, and 3</t>
  </si>
  <si>
    <t xml:space="preserve">Consistency</t>
  </si>
  <si>
    <t xml:space="preserve">TC_SL_045</t>
  </si>
  <si>
    <t xml:space="preserve">Verify clicking slide image</t>
  </si>
  <si>
    <t xml:space="preserve">1. Click on slider image</t>
  </si>
  <si>
    <t xml:space="preserve">Navigates to product OR no action</t>
  </si>
  <si>
    <t xml:space="preserve">Clicked on each of the 3 slider images directly: NO navigation occurs — slider images are NOT hyperlinks; clicking on the image area triggers no action (no product page link); images are static promotional visuals with no click functionality</t>
  </si>
  <si>
    <t xml:space="preserve">Image click</t>
  </si>
  <si>
    <t xml:space="preserve">TC_SL_046</t>
  </si>
  <si>
    <t xml:space="preserve">Verify slider on page scroll</t>
  </si>
  <si>
    <t xml:space="preserve">1. Scroll down page
2. Scroll up to slider</t>
  </si>
  <si>
    <t xml:space="preserve">Slider continues functioning after scroll</t>
  </si>
  <si>
    <t xml:space="preserve">Scrolled down the home page past the slider, then scrolled back up: slider was still auto-advancing in the background during scroll; returning to the slider view shows the current slide correctly; slider functioning normally after page scroll</t>
  </si>
  <si>
    <t xml:space="preserve">Scroll</t>
  </si>
  <si>
    <t xml:space="preserve">TC_SL_047</t>
  </si>
  <si>
    <t xml:space="preserve">Verify slider with navigation</t>
  </si>
  <si>
    <t xml:space="preserve">1. Navigate away
2. Return to home</t>
  </si>
  <si>
    <t xml:space="preserve">Slider resets to first slide</t>
  </si>
  <si>
    <t xml:space="preserve">Navigated away from the home page to a product detail page, then used browser Back to return to the home page: slider reloaded and restarted from Slide 1 (Samsung1.jpg) as the page performed a full reload; slider reset to first slide on page return</t>
  </si>
  <si>
    <t xml:space="preserve">Navigation</t>
  </si>
  <si>
    <t xml:space="preserve">TC_SL_048</t>
  </si>
  <si>
    <t xml:space="preserve">Verify multiple page loads</t>
  </si>
  <si>
    <t xml:space="preserve">1. Refresh page 5 times</t>
  </si>
  <si>
    <t xml:space="preserve">Slider works consistently on each load</t>
  </si>
  <si>
    <t xml:space="preserve">Refreshed the home page 5 consecutive times (F5): slider loaded correctly and began from Slide 1 on each refresh; auto-play started consistently; no loading failures; slider behaviour identical across all 5 refreshes</t>
  </si>
  <si>
    <t xml:space="preserve">Refresh</t>
  </si>
  <si>
    <t xml:space="preserve">TEST SUMMARY</t>
  </si>
  <si>
    <t xml:space="preserve">Total Test Cases:</t>
  </si>
  <si>
    <t xml:space="preserve">P0 Test Cases:</t>
  </si>
  <si>
    <t xml:space="preserve">P1 Test Cases:</t>
  </si>
  <si>
    <t xml:space="preserve">P2 Test Cases:</t>
  </si>
  <si>
    <t xml:space="preserve">Passed:</t>
  </si>
  <si>
    <t xml:space="preserve">Failed:</t>
  </si>
  <si>
    <t xml:space="preserve">Not Executed:</t>
  </si>
  <si>
    <t xml:space="preserve">Pass Rate: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</si>
</sst>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5911"/>
        <bgColor rgb="FF993300"/>
      </patternFill>
    </fill>
    <fill>
      <patternFill patternType="solid">
        <fgColor rgb="FF90EE90"/>
        <bgColor rgb="FF98D8C8"/>
      </patternFill>
    </fill>
    <fill>
      <patternFill patternType="solid">
        <fgColor rgb="FFFF6B6B"/>
        <bgColor rgb="FFC65911"/>
      </patternFill>
    </fill>
    <fill>
      <patternFill patternType="solid">
        <fgColor rgb="FFFFD93D"/>
        <bgColor rgb="FFFFCC99"/>
      </patternFill>
    </fill>
    <fill>
      <patternFill patternType="solid">
        <fgColor rgb="FF98D8C8"/>
        <bgColor rgb="FF90EE9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8D8C8"/>
      <rgbColor rgb="FFFF99CC"/>
      <rgbColor rgb="FFCC99FF"/>
      <rgbColor rgb="FFFFCC99"/>
      <rgbColor rgb="FF4472C4"/>
      <rgbColor rgb="FF33CCCC"/>
      <rgbColor rgb="FF99CC00"/>
      <rgbColor rgb="FFFFD93D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52"/>
    <col collapsed="false" customWidth="true" hidden="false" outlineLevel="0" max="6" min="6" style="0" width="8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2" t="s">
        <v>5</v>
      </c>
    </row>
    <row r="4" customFormat="false" ht="15" hidden="false" customHeight="false" outlineLevel="0" collapsed="false">
      <c r="A4" s="1" t="s">
        <v>6</v>
      </c>
      <c r="B4" s="2" t="s">
        <v>7</v>
      </c>
    </row>
    <row r="5" customFormat="false" ht="15" hidden="false" customHeight="false" outlineLevel="0" collapsed="false">
      <c r="A5" s="1" t="s">
        <v>8</v>
      </c>
      <c r="B5" s="2" t="s">
        <v>9</v>
      </c>
    </row>
    <row r="6" customFormat="false" ht="15" hidden="false" customHeight="false" outlineLevel="0" collapsed="false">
      <c r="A6" s="1" t="s">
        <v>10</v>
      </c>
      <c r="B6" s="2" t="s">
        <v>11</v>
      </c>
    </row>
    <row r="7" customFormat="false" ht="15" hidden="false" customHeight="false" outlineLevel="0" collapsed="false">
      <c r="A7" s="1" t="s">
        <v>12</v>
      </c>
      <c r="B7" s="2" t="s">
        <v>13</v>
      </c>
    </row>
    <row r="8" customFormat="false" ht="15" hidden="false" customHeight="false" outlineLevel="0" collapsed="false">
      <c r="A8" s="3" t="s">
        <v>14</v>
      </c>
      <c r="B8" s="2" t="s">
        <v>15</v>
      </c>
    </row>
    <row r="9" customFormat="false" ht="15" hidden="false" customHeight="false" outlineLevel="0" collapsed="false">
      <c r="A9" s="4" t="s">
        <v>16</v>
      </c>
      <c r="B9" s="4" t="s">
        <v>17</v>
      </c>
      <c r="C9" s="4" t="s">
        <v>18</v>
      </c>
      <c r="D9" s="4" t="s">
        <v>19</v>
      </c>
      <c r="E9" s="4" t="s">
        <v>20</v>
      </c>
      <c r="F9" s="4" t="s">
        <v>21</v>
      </c>
      <c r="G9" s="4" t="s">
        <v>22</v>
      </c>
      <c r="H9" s="4" t="s">
        <v>12</v>
      </c>
      <c r="I9" s="4" t="s">
        <v>23</v>
      </c>
    </row>
    <row r="10" customFormat="false" ht="41.75" hidden="false" customHeight="false" outlineLevel="0" collapsed="false">
      <c r="A10" s="5" t="s">
        <v>24</v>
      </c>
      <c r="B10" s="5" t="s">
        <v>25</v>
      </c>
      <c r="C10" s="5" t="s">
        <v>26</v>
      </c>
      <c r="D10" s="5" t="s">
        <v>27</v>
      </c>
      <c r="E10" s="5" t="s">
        <v>28</v>
      </c>
      <c r="F10" s="5" t="s">
        <v>29</v>
      </c>
      <c r="G10" s="6" t="s">
        <v>30</v>
      </c>
      <c r="H10" s="7" t="s">
        <v>31</v>
      </c>
      <c r="I10" s="5" t="s">
        <v>32</v>
      </c>
    </row>
    <row r="11" customFormat="false" ht="41.75" hidden="false" customHeight="false" outlineLevel="0" collapsed="false">
      <c r="A11" s="5" t="s">
        <v>33</v>
      </c>
      <c r="B11" s="5" t="s">
        <v>34</v>
      </c>
      <c r="C11" s="5" t="s">
        <v>35</v>
      </c>
      <c r="D11" s="5" t="s">
        <v>27</v>
      </c>
      <c r="E11" s="5" t="s">
        <v>36</v>
      </c>
      <c r="F11" s="5" t="s">
        <v>37</v>
      </c>
      <c r="G11" s="6" t="s">
        <v>30</v>
      </c>
      <c r="H11" s="7" t="s">
        <v>31</v>
      </c>
      <c r="I11" s="5" t="s">
        <v>38</v>
      </c>
    </row>
    <row r="12" customFormat="false" ht="41.75" hidden="false" customHeight="false" outlineLevel="0" collapsed="false">
      <c r="A12" s="5" t="s">
        <v>39</v>
      </c>
      <c r="B12" s="5" t="s">
        <v>40</v>
      </c>
      <c r="C12" s="5" t="s">
        <v>41</v>
      </c>
      <c r="D12" s="5" t="s">
        <v>27</v>
      </c>
      <c r="E12" s="5" t="s">
        <v>42</v>
      </c>
      <c r="F12" s="5" t="s">
        <v>43</v>
      </c>
      <c r="G12" s="6" t="s">
        <v>30</v>
      </c>
      <c r="H12" s="7" t="s">
        <v>31</v>
      </c>
      <c r="I12" s="5" t="s">
        <v>44</v>
      </c>
    </row>
    <row r="13" customFormat="false" ht="28.35" hidden="false" customHeight="false" outlineLevel="0" collapsed="false">
      <c r="A13" s="5" t="s">
        <v>45</v>
      </c>
      <c r="B13" s="5" t="s">
        <v>46</v>
      </c>
      <c r="C13" s="5" t="s">
        <v>47</v>
      </c>
      <c r="D13" s="5" t="s">
        <v>27</v>
      </c>
      <c r="E13" s="5" t="s">
        <v>48</v>
      </c>
      <c r="F13" s="5" t="s">
        <v>49</v>
      </c>
      <c r="G13" s="6" t="s">
        <v>30</v>
      </c>
      <c r="H13" s="7" t="s">
        <v>31</v>
      </c>
      <c r="I13" s="5" t="s">
        <v>50</v>
      </c>
    </row>
    <row r="14" customFormat="false" ht="41.75" hidden="false" customHeight="false" outlineLevel="0" collapsed="false">
      <c r="A14" s="5" t="s">
        <v>51</v>
      </c>
      <c r="B14" s="5" t="s">
        <v>52</v>
      </c>
      <c r="C14" s="5" t="s">
        <v>53</v>
      </c>
      <c r="D14" s="5" t="s">
        <v>27</v>
      </c>
      <c r="E14" s="5" t="s">
        <v>54</v>
      </c>
      <c r="F14" s="5" t="s">
        <v>55</v>
      </c>
      <c r="G14" s="6" t="s">
        <v>30</v>
      </c>
      <c r="H14" s="7" t="s">
        <v>31</v>
      </c>
      <c r="I14" s="5" t="s">
        <v>56</v>
      </c>
    </row>
    <row r="15" customFormat="false" ht="41.75" hidden="false" customHeight="false" outlineLevel="0" collapsed="false">
      <c r="A15" s="5" t="s">
        <v>57</v>
      </c>
      <c r="B15" s="5" t="s">
        <v>58</v>
      </c>
      <c r="C15" s="5" t="s">
        <v>59</v>
      </c>
      <c r="D15" s="5" t="s">
        <v>27</v>
      </c>
      <c r="E15" s="5" t="s">
        <v>60</v>
      </c>
      <c r="F15" s="5" t="s">
        <v>61</v>
      </c>
      <c r="G15" s="6" t="s">
        <v>30</v>
      </c>
      <c r="H15" s="7" t="s">
        <v>31</v>
      </c>
      <c r="I15" s="5" t="s">
        <v>62</v>
      </c>
    </row>
    <row r="16" customFormat="false" ht="28.35" hidden="false" customHeight="false" outlineLevel="0" collapsed="false">
      <c r="A16" s="5" t="s">
        <v>63</v>
      </c>
      <c r="B16" s="5" t="s">
        <v>64</v>
      </c>
      <c r="C16" s="5" t="s">
        <v>65</v>
      </c>
      <c r="D16" s="5" t="s">
        <v>66</v>
      </c>
      <c r="E16" s="5" t="s">
        <v>67</v>
      </c>
      <c r="F16" s="5" t="s">
        <v>68</v>
      </c>
      <c r="G16" s="6" t="s">
        <v>30</v>
      </c>
      <c r="H16" s="7" t="s">
        <v>31</v>
      </c>
      <c r="I16" s="5" t="s">
        <v>69</v>
      </c>
    </row>
    <row r="17" customFormat="false" ht="28.35" hidden="false" customHeight="false" outlineLevel="0" collapsed="false">
      <c r="A17" s="5" t="s">
        <v>70</v>
      </c>
      <c r="B17" s="5" t="s">
        <v>71</v>
      </c>
      <c r="C17" s="5" t="s">
        <v>72</v>
      </c>
      <c r="D17" s="5" t="s">
        <v>73</v>
      </c>
      <c r="E17" s="5" t="s">
        <v>74</v>
      </c>
      <c r="F17" s="5" t="s">
        <v>75</v>
      </c>
      <c r="G17" s="6" t="s">
        <v>30</v>
      </c>
      <c r="H17" s="7" t="s">
        <v>31</v>
      </c>
      <c r="I17" s="5" t="s">
        <v>76</v>
      </c>
    </row>
    <row r="18" customFormat="false" ht="41.75" hidden="false" customHeight="false" outlineLevel="0" collapsed="false">
      <c r="A18" s="5" t="s">
        <v>77</v>
      </c>
      <c r="B18" s="5" t="s">
        <v>78</v>
      </c>
      <c r="C18" s="5" t="s">
        <v>79</v>
      </c>
      <c r="D18" s="5" t="s">
        <v>80</v>
      </c>
      <c r="E18" s="5" t="s">
        <v>81</v>
      </c>
      <c r="F18" s="5" t="s">
        <v>82</v>
      </c>
      <c r="G18" s="6" t="s">
        <v>30</v>
      </c>
      <c r="H18" s="7" t="s">
        <v>31</v>
      </c>
      <c r="I18" s="5" t="s">
        <v>83</v>
      </c>
    </row>
    <row r="19" customFormat="false" ht="41.75" hidden="false" customHeight="false" outlineLevel="0" collapsed="false">
      <c r="A19" s="5" t="s">
        <v>84</v>
      </c>
      <c r="B19" s="5" t="s">
        <v>85</v>
      </c>
      <c r="C19" s="5" t="s">
        <v>86</v>
      </c>
      <c r="D19" s="5" t="s">
        <v>27</v>
      </c>
      <c r="E19" s="5" t="s">
        <v>87</v>
      </c>
      <c r="F19" s="5" t="s">
        <v>88</v>
      </c>
      <c r="G19" s="6" t="s">
        <v>30</v>
      </c>
      <c r="H19" s="7" t="s">
        <v>31</v>
      </c>
      <c r="I19" s="5" t="s">
        <v>89</v>
      </c>
    </row>
    <row r="20" customFormat="false" ht="41.75" hidden="false" customHeight="false" outlineLevel="0" collapsed="false">
      <c r="A20" s="5" t="s">
        <v>90</v>
      </c>
      <c r="B20" s="5" t="s">
        <v>91</v>
      </c>
      <c r="C20" s="5" t="s">
        <v>92</v>
      </c>
      <c r="D20" s="5" t="s">
        <v>93</v>
      </c>
      <c r="E20" s="5" t="s">
        <v>94</v>
      </c>
      <c r="F20" s="5" t="s">
        <v>95</v>
      </c>
      <c r="G20" s="6" t="s">
        <v>30</v>
      </c>
      <c r="H20" s="7" t="s">
        <v>31</v>
      </c>
      <c r="I20" s="5" t="s">
        <v>96</v>
      </c>
    </row>
    <row r="21" customFormat="false" ht="41.75" hidden="false" customHeight="false" outlineLevel="0" collapsed="false">
      <c r="A21" s="5" t="s">
        <v>97</v>
      </c>
      <c r="B21" s="5" t="s">
        <v>98</v>
      </c>
      <c r="C21" s="5" t="s">
        <v>99</v>
      </c>
      <c r="D21" s="5" t="s">
        <v>100</v>
      </c>
      <c r="E21" s="5" t="s">
        <v>101</v>
      </c>
      <c r="F21" s="5" t="s">
        <v>102</v>
      </c>
      <c r="G21" s="6" t="s">
        <v>30</v>
      </c>
      <c r="H21" s="7" t="s">
        <v>31</v>
      </c>
      <c r="I21" s="5" t="s">
        <v>103</v>
      </c>
    </row>
    <row r="22" customFormat="false" ht="41.75" hidden="false" customHeight="false" outlineLevel="0" collapsed="false">
      <c r="A22" s="5" t="s">
        <v>104</v>
      </c>
      <c r="B22" s="5" t="s">
        <v>105</v>
      </c>
      <c r="C22" s="5" t="s">
        <v>106</v>
      </c>
      <c r="D22" s="5" t="s">
        <v>27</v>
      </c>
      <c r="E22" s="5" t="s">
        <v>107</v>
      </c>
      <c r="F22" s="5" t="s">
        <v>108</v>
      </c>
      <c r="G22" s="6" t="s">
        <v>30</v>
      </c>
      <c r="H22" s="7" t="s">
        <v>31</v>
      </c>
      <c r="I22" s="5" t="s">
        <v>109</v>
      </c>
    </row>
    <row r="23" customFormat="false" ht="41.75" hidden="false" customHeight="false" outlineLevel="0" collapsed="false">
      <c r="A23" s="5" t="s">
        <v>110</v>
      </c>
      <c r="B23" s="5" t="s">
        <v>111</v>
      </c>
      <c r="C23" s="5" t="s">
        <v>112</v>
      </c>
      <c r="D23" s="5" t="s">
        <v>27</v>
      </c>
      <c r="E23" s="5" t="s">
        <v>113</v>
      </c>
      <c r="F23" s="5" t="s">
        <v>114</v>
      </c>
      <c r="G23" s="6" t="s">
        <v>30</v>
      </c>
      <c r="H23" s="8" t="s">
        <v>115</v>
      </c>
      <c r="I23" s="5" t="s">
        <v>116</v>
      </c>
    </row>
    <row r="24" customFormat="false" ht="41.75" hidden="false" customHeight="false" outlineLevel="0" collapsed="false">
      <c r="A24" s="5" t="s">
        <v>117</v>
      </c>
      <c r="B24" s="5" t="s">
        <v>118</v>
      </c>
      <c r="C24" s="5" t="s">
        <v>119</v>
      </c>
      <c r="D24" s="5" t="s">
        <v>27</v>
      </c>
      <c r="E24" s="5" t="s">
        <v>120</v>
      </c>
      <c r="F24" s="5" t="s">
        <v>121</v>
      </c>
      <c r="G24" s="6" t="s">
        <v>30</v>
      </c>
      <c r="H24" s="8" t="s">
        <v>115</v>
      </c>
      <c r="I24" s="5" t="s">
        <v>122</v>
      </c>
    </row>
    <row r="25" customFormat="false" ht="41.75" hidden="false" customHeight="false" outlineLevel="0" collapsed="false">
      <c r="A25" s="5" t="s">
        <v>123</v>
      </c>
      <c r="B25" s="5" t="s">
        <v>124</v>
      </c>
      <c r="C25" s="5" t="s">
        <v>125</v>
      </c>
      <c r="D25" s="5" t="s">
        <v>27</v>
      </c>
      <c r="E25" s="5" t="s">
        <v>126</v>
      </c>
      <c r="F25" s="5" t="s">
        <v>127</v>
      </c>
      <c r="G25" s="6" t="s">
        <v>30</v>
      </c>
      <c r="H25" s="8" t="s">
        <v>115</v>
      </c>
      <c r="I25" s="5" t="s">
        <v>128</v>
      </c>
    </row>
    <row r="26" customFormat="false" ht="55.2" hidden="false" customHeight="false" outlineLevel="0" collapsed="false">
      <c r="A26" s="5" t="s">
        <v>129</v>
      </c>
      <c r="B26" s="5" t="s">
        <v>130</v>
      </c>
      <c r="C26" s="5" t="s">
        <v>131</v>
      </c>
      <c r="D26" s="5" t="s">
        <v>132</v>
      </c>
      <c r="E26" s="5" t="s">
        <v>74</v>
      </c>
      <c r="F26" s="5" t="s">
        <v>133</v>
      </c>
      <c r="G26" s="9" t="s">
        <v>134</v>
      </c>
      <c r="H26" s="7" t="s">
        <v>31</v>
      </c>
      <c r="I26" s="5" t="s">
        <v>135</v>
      </c>
    </row>
    <row r="27" customFormat="false" ht="41.75" hidden="false" customHeight="false" outlineLevel="0" collapsed="false">
      <c r="A27" s="5" t="s">
        <v>136</v>
      </c>
      <c r="B27" s="5" t="s">
        <v>137</v>
      </c>
      <c r="C27" s="5" t="s">
        <v>138</v>
      </c>
      <c r="D27" s="5" t="s">
        <v>132</v>
      </c>
      <c r="E27" s="5" t="s">
        <v>139</v>
      </c>
      <c r="F27" s="5" t="s">
        <v>140</v>
      </c>
      <c r="G27" s="9" t="s">
        <v>134</v>
      </c>
      <c r="H27" s="7" t="s">
        <v>31</v>
      </c>
      <c r="I27" s="5" t="s">
        <v>141</v>
      </c>
    </row>
    <row r="28" customFormat="false" ht="41.75" hidden="false" customHeight="false" outlineLevel="0" collapsed="false">
      <c r="A28" s="5" t="s">
        <v>142</v>
      </c>
      <c r="B28" s="5" t="s">
        <v>143</v>
      </c>
      <c r="C28" s="5" t="s">
        <v>144</v>
      </c>
      <c r="D28" s="5" t="s">
        <v>132</v>
      </c>
      <c r="E28" s="5" t="s">
        <v>145</v>
      </c>
      <c r="F28" s="5" t="s">
        <v>146</v>
      </c>
      <c r="G28" s="6" t="s">
        <v>30</v>
      </c>
      <c r="H28" s="7" t="s">
        <v>31</v>
      </c>
      <c r="I28" s="5" t="s">
        <v>147</v>
      </c>
    </row>
    <row r="29" customFormat="false" ht="55.2" hidden="false" customHeight="false" outlineLevel="0" collapsed="false">
      <c r="A29" s="5" t="s">
        <v>148</v>
      </c>
      <c r="B29" s="5" t="s">
        <v>149</v>
      </c>
      <c r="C29" s="5" t="s">
        <v>150</v>
      </c>
      <c r="D29" s="5" t="s">
        <v>151</v>
      </c>
      <c r="E29" s="5" t="s">
        <v>152</v>
      </c>
      <c r="F29" s="5" t="s">
        <v>153</v>
      </c>
      <c r="G29" s="9" t="s">
        <v>134</v>
      </c>
      <c r="H29" s="7" t="s">
        <v>31</v>
      </c>
      <c r="I29" s="5" t="s">
        <v>154</v>
      </c>
    </row>
    <row r="30" customFormat="false" ht="41.75" hidden="false" customHeight="false" outlineLevel="0" collapsed="false">
      <c r="A30" s="5" t="s">
        <v>155</v>
      </c>
      <c r="B30" s="5" t="s">
        <v>156</v>
      </c>
      <c r="C30" s="5" t="s">
        <v>157</v>
      </c>
      <c r="D30" s="5" t="s">
        <v>158</v>
      </c>
      <c r="E30" s="5" t="s">
        <v>159</v>
      </c>
      <c r="F30" s="5" t="s">
        <v>160</v>
      </c>
      <c r="G30" s="6" t="s">
        <v>30</v>
      </c>
      <c r="H30" s="7" t="s">
        <v>31</v>
      </c>
      <c r="I30" s="5" t="s">
        <v>161</v>
      </c>
    </row>
    <row r="31" customFormat="false" ht="41.75" hidden="false" customHeight="false" outlineLevel="0" collapsed="false">
      <c r="A31" s="5" t="s">
        <v>162</v>
      </c>
      <c r="B31" s="5" t="s">
        <v>163</v>
      </c>
      <c r="C31" s="5" t="s">
        <v>164</v>
      </c>
      <c r="D31" s="5" t="s">
        <v>165</v>
      </c>
      <c r="E31" s="5" t="s">
        <v>166</v>
      </c>
      <c r="F31" s="5" t="s">
        <v>167</v>
      </c>
      <c r="G31" s="6" t="s">
        <v>30</v>
      </c>
      <c r="H31" s="7" t="s">
        <v>31</v>
      </c>
      <c r="I31" s="5" t="s">
        <v>168</v>
      </c>
    </row>
    <row r="32" customFormat="false" ht="41.75" hidden="false" customHeight="false" outlineLevel="0" collapsed="false">
      <c r="A32" s="5" t="s">
        <v>169</v>
      </c>
      <c r="B32" s="5" t="s">
        <v>170</v>
      </c>
      <c r="C32" s="5" t="s">
        <v>171</v>
      </c>
      <c r="D32" s="5" t="s">
        <v>172</v>
      </c>
      <c r="E32" s="5" t="s">
        <v>173</v>
      </c>
      <c r="F32" s="5" t="s">
        <v>174</v>
      </c>
      <c r="G32" s="6" t="s">
        <v>30</v>
      </c>
      <c r="H32" s="7" t="s">
        <v>31</v>
      </c>
      <c r="I32" s="5" t="s">
        <v>175</v>
      </c>
    </row>
    <row r="33" customFormat="false" ht="41.75" hidden="false" customHeight="false" outlineLevel="0" collapsed="false">
      <c r="A33" s="5" t="s">
        <v>176</v>
      </c>
      <c r="B33" s="5" t="s">
        <v>177</v>
      </c>
      <c r="C33" s="5" t="s">
        <v>178</v>
      </c>
      <c r="D33" s="5" t="s">
        <v>179</v>
      </c>
      <c r="E33" s="5" t="s">
        <v>180</v>
      </c>
      <c r="F33" s="5" t="s">
        <v>181</v>
      </c>
      <c r="G33" s="6" t="s">
        <v>30</v>
      </c>
      <c r="H33" s="7" t="s">
        <v>31</v>
      </c>
      <c r="I33" s="5" t="s">
        <v>182</v>
      </c>
    </row>
    <row r="34" customFormat="false" ht="41.75" hidden="false" customHeight="false" outlineLevel="0" collapsed="false">
      <c r="A34" s="5" t="s">
        <v>183</v>
      </c>
      <c r="B34" s="5" t="s">
        <v>184</v>
      </c>
      <c r="C34" s="5" t="s">
        <v>185</v>
      </c>
      <c r="D34" s="5" t="s">
        <v>186</v>
      </c>
      <c r="E34" s="5" t="s">
        <v>187</v>
      </c>
      <c r="F34" s="5" t="s">
        <v>188</v>
      </c>
      <c r="G34" s="6" t="s">
        <v>30</v>
      </c>
      <c r="H34" s="7" t="s">
        <v>31</v>
      </c>
      <c r="I34" s="5" t="s">
        <v>186</v>
      </c>
    </row>
    <row r="35" customFormat="false" ht="28.35" hidden="false" customHeight="false" outlineLevel="0" collapsed="false">
      <c r="A35" s="5" t="s">
        <v>189</v>
      </c>
      <c r="B35" s="5" t="s">
        <v>190</v>
      </c>
      <c r="C35" s="5" t="s">
        <v>191</v>
      </c>
      <c r="D35" s="5" t="s">
        <v>192</v>
      </c>
      <c r="E35" s="5" t="s">
        <v>193</v>
      </c>
      <c r="F35" s="5" t="s">
        <v>194</v>
      </c>
      <c r="G35" s="6" t="s">
        <v>30</v>
      </c>
      <c r="H35" s="7" t="s">
        <v>31</v>
      </c>
      <c r="I35" s="5" t="s">
        <v>192</v>
      </c>
    </row>
    <row r="36" customFormat="false" ht="41.75" hidden="false" customHeight="false" outlineLevel="0" collapsed="false">
      <c r="A36" s="5" t="s">
        <v>195</v>
      </c>
      <c r="B36" s="5" t="s">
        <v>196</v>
      </c>
      <c r="C36" s="5" t="s">
        <v>197</v>
      </c>
      <c r="D36" s="5" t="s">
        <v>198</v>
      </c>
      <c r="E36" s="5" t="s">
        <v>199</v>
      </c>
      <c r="F36" s="5" t="s">
        <v>200</v>
      </c>
      <c r="G36" s="6" t="s">
        <v>30</v>
      </c>
      <c r="H36" s="8" t="s">
        <v>115</v>
      </c>
      <c r="I36" s="5" t="s">
        <v>198</v>
      </c>
    </row>
    <row r="37" customFormat="false" ht="28.35" hidden="false" customHeight="false" outlineLevel="0" collapsed="false">
      <c r="A37" s="5" t="s">
        <v>201</v>
      </c>
      <c r="B37" s="5" t="s">
        <v>202</v>
      </c>
      <c r="C37" s="5" t="s">
        <v>203</v>
      </c>
      <c r="D37" s="5" t="s">
        <v>204</v>
      </c>
      <c r="E37" s="5" t="s">
        <v>205</v>
      </c>
      <c r="F37" s="5" t="s">
        <v>206</v>
      </c>
      <c r="G37" s="6" t="s">
        <v>30</v>
      </c>
      <c r="H37" s="8" t="s">
        <v>115</v>
      </c>
      <c r="I37" s="5" t="s">
        <v>204</v>
      </c>
    </row>
    <row r="38" customFormat="false" ht="41.75" hidden="false" customHeight="false" outlineLevel="0" collapsed="false">
      <c r="A38" s="5" t="s">
        <v>207</v>
      </c>
      <c r="B38" s="5" t="s">
        <v>208</v>
      </c>
      <c r="C38" s="5" t="s">
        <v>209</v>
      </c>
      <c r="D38" s="5" t="s">
        <v>27</v>
      </c>
      <c r="E38" s="5" t="s">
        <v>210</v>
      </c>
      <c r="F38" s="5" t="s">
        <v>211</v>
      </c>
      <c r="G38" s="6" t="s">
        <v>30</v>
      </c>
      <c r="H38" s="8" t="s">
        <v>115</v>
      </c>
      <c r="I38" s="5" t="s">
        <v>212</v>
      </c>
    </row>
    <row r="39" customFormat="false" ht="55.2" hidden="false" customHeight="false" outlineLevel="0" collapsed="false">
      <c r="A39" s="5" t="s">
        <v>213</v>
      </c>
      <c r="B39" s="5" t="s">
        <v>214</v>
      </c>
      <c r="C39" s="5" t="s">
        <v>215</v>
      </c>
      <c r="D39" s="5" t="s">
        <v>27</v>
      </c>
      <c r="E39" s="5" t="s">
        <v>216</v>
      </c>
      <c r="F39" s="5" t="s">
        <v>217</v>
      </c>
      <c r="G39" s="6" t="s">
        <v>30</v>
      </c>
      <c r="H39" s="8" t="s">
        <v>115</v>
      </c>
      <c r="I39" s="5" t="s">
        <v>218</v>
      </c>
    </row>
    <row r="40" customFormat="false" ht="41.75" hidden="false" customHeight="false" outlineLevel="0" collapsed="false">
      <c r="A40" s="5" t="s">
        <v>219</v>
      </c>
      <c r="B40" s="5" t="s">
        <v>220</v>
      </c>
      <c r="C40" s="5" t="s">
        <v>221</v>
      </c>
      <c r="D40" s="5" t="s">
        <v>27</v>
      </c>
      <c r="E40" s="5" t="s">
        <v>222</v>
      </c>
      <c r="F40" s="5" t="s">
        <v>223</v>
      </c>
      <c r="G40" s="6" t="s">
        <v>30</v>
      </c>
      <c r="H40" s="8" t="s">
        <v>115</v>
      </c>
      <c r="I40" s="5" t="s">
        <v>224</v>
      </c>
    </row>
    <row r="41" customFormat="false" ht="55.2" hidden="false" customHeight="false" outlineLevel="0" collapsed="false">
      <c r="A41" s="5" t="s">
        <v>225</v>
      </c>
      <c r="B41" s="5" t="s">
        <v>226</v>
      </c>
      <c r="C41" s="5" t="s">
        <v>227</v>
      </c>
      <c r="D41" s="5" t="s">
        <v>228</v>
      </c>
      <c r="E41" s="5" t="s">
        <v>229</v>
      </c>
      <c r="F41" s="5" t="s">
        <v>230</v>
      </c>
      <c r="G41" s="9" t="s">
        <v>134</v>
      </c>
      <c r="H41" s="8" t="s">
        <v>115</v>
      </c>
      <c r="I41" s="5" t="s">
        <v>231</v>
      </c>
    </row>
    <row r="42" customFormat="false" ht="41.75" hidden="false" customHeight="false" outlineLevel="0" collapsed="false">
      <c r="A42" s="5" t="s">
        <v>232</v>
      </c>
      <c r="B42" s="5" t="s">
        <v>233</v>
      </c>
      <c r="C42" s="5" t="s">
        <v>234</v>
      </c>
      <c r="D42" s="5" t="s">
        <v>27</v>
      </c>
      <c r="E42" s="5" t="s">
        <v>235</v>
      </c>
      <c r="F42" s="5" t="s">
        <v>236</v>
      </c>
      <c r="G42" s="6" t="s">
        <v>30</v>
      </c>
      <c r="H42" s="8" t="s">
        <v>115</v>
      </c>
      <c r="I42" s="5" t="s">
        <v>237</v>
      </c>
    </row>
    <row r="43" customFormat="false" ht="55.2" hidden="false" customHeight="false" outlineLevel="0" collapsed="false">
      <c r="A43" s="5" t="s">
        <v>238</v>
      </c>
      <c r="B43" s="5" t="s">
        <v>239</v>
      </c>
      <c r="C43" s="5" t="s">
        <v>240</v>
      </c>
      <c r="D43" s="5" t="s">
        <v>27</v>
      </c>
      <c r="E43" s="5" t="s">
        <v>241</v>
      </c>
      <c r="F43" s="5" t="s">
        <v>242</v>
      </c>
      <c r="G43" s="9" t="s">
        <v>134</v>
      </c>
      <c r="H43" s="8" t="s">
        <v>115</v>
      </c>
      <c r="I43" s="5" t="s">
        <v>243</v>
      </c>
    </row>
    <row r="44" customFormat="false" ht="68.65" hidden="false" customHeight="false" outlineLevel="0" collapsed="false">
      <c r="A44" s="5" t="s">
        <v>244</v>
      </c>
      <c r="B44" s="5" t="s">
        <v>245</v>
      </c>
      <c r="C44" s="5" t="s">
        <v>246</v>
      </c>
      <c r="D44" s="5" t="s">
        <v>247</v>
      </c>
      <c r="E44" s="5" t="s">
        <v>248</v>
      </c>
      <c r="F44" s="5" t="s">
        <v>249</v>
      </c>
      <c r="G44" s="9" t="s">
        <v>134</v>
      </c>
      <c r="H44" s="10" t="s">
        <v>250</v>
      </c>
      <c r="I44" s="5" t="s">
        <v>247</v>
      </c>
    </row>
    <row r="45" customFormat="false" ht="55.2" hidden="false" customHeight="false" outlineLevel="0" collapsed="false">
      <c r="A45" s="5" t="s">
        <v>251</v>
      </c>
      <c r="B45" s="5" t="s">
        <v>252</v>
      </c>
      <c r="C45" s="5" t="s">
        <v>253</v>
      </c>
      <c r="D45" s="5" t="s">
        <v>27</v>
      </c>
      <c r="E45" s="5" t="s">
        <v>254</v>
      </c>
      <c r="F45" s="5" t="s">
        <v>255</v>
      </c>
      <c r="G45" s="9" t="s">
        <v>134</v>
      </c>
      <c r="H45" s="8" t="s">
        <v>115</v>
      </c>
      <c r="I45" s="5" t="s">
        <v>256</v>
      </c>
    </row>
    <row r="46" customFormat="false" ht="41.75" hidden="false" customHeight="false" outlineLevel="0" collapsed="false">
      <c r="A46" s="5" t="s">
        <v>257</v>
      </c>
      <c r="B46" s="5" t="s">
        <v>258</v>
      </c>
      <c r="C46" s="5" t="s">
        <v>259</v>
      </c>
      <c r="D46" s="5" t="s">
        <v>27</v>
      </c>
      <c r="E46" s="5" t="s">
        <v>260</v>
      </c>
      <c r="F46" s="5" t="s">
        <v>261</v>
      </c>
      <c r="G46" s="6" t="s">
        <v>30</v>
      </c>
      <c r="H46" s="8" t="s">
        <v>115</v>
      </c>
      <c r="I46" s="5" t="s">
        <v>262</v>
      </c>
    </row>
    <row r="47" customFormat="false" ht="41.75" hidden="false" customHeight="false" outlineLevel="0" collapsed="false">
      <c r="A47" s="5" t="s">
        <v>263</v>
      </c>
      <c r="B47" s="5" t="s">
        <v>264</v>
      </c>
      <c r="C47" s="5" t="s">
        <v>265</v>
      </c>
      <c r="D47" s="5" t="s">
        <v>27</v>
      </c>
      <c r="E47" s="5" t="s">
        <v>266</v>
      </c>
      <c r="F47" s="5" t="s">
        <v>267</v>
      </c>
      <c r="G47" s="6" t="s">
        <v>30</v>
      </c>
      <c r="H47" s="8" t="s">
        <v>115</v>
      </c>
      <c r="I47" s="5" t="s">
        <v>268</v>
      </c>
    </row>
    <row r="48" customFormat="false" ht="55.2" hidden="false" customHeight="false" outlineLevel="0" collapsed="false">
      <c r="A48" s="5" t="s">
        <v>269</v>
      </c>
      <c r="B48" s="5" t="s">
        <v>270</v>
      </c>
      <c r="C48" s="5" t="s">
        <v>271</v>
      </c>
      <c r="D48" s="5" t="s">
        <v>27</v>
      </c>
      <c r="E48" s="5" t="s">
        <v>272</v>
      </c>
      <c r="F48" s="5" t="s">
        <v>273</v>
      </c>
      <c r="G48" s="9" t="s">
        <v>134</v>
      </c>
      <c r="H48" s="10" t="s">
        <v>250</v>
      </c>
      <c r="I48" s="5" t="s">
        <v>274</v>
      </c>
    </row>
    <row r="49" customFormat="false" ht="41.75" hidden="false" customHeight="false" outlineLevel="0" collapsed="false">
      <c r="A49" s="5" t="s">
        <v>275</v>
      </c>
      <c r="B49" s="5" t="s">
        <v>276</v>
      </c>
      <c r="C49" s="5" t="s">
        <v>277</v>
      </c>
      <c r="D49" s="5" t="s">
        <v>27</v>
      </c>
      <c r="E49" s="5" t="s">
        <v>278</v>
      </c>
      <c r="F49" s="5" t="s">
        <v>279</v>
      </c>
      <c r="G49" s="6" t="s">
        <v>30</v>
      </c>
      <c r="H49" s="8" t="s">
        <v>115</v>
      </c>
      <c r="I49" s="5" t="s">
        <v>280</v>
      </c>
    </row>
    <row r="50" customFormat="false" ht="41.75" hidden="false" customHeight="false" outlineLevel="0" collapsed="false">
      <c r="A50" s="5" t="s">
        <v>281</v>
      </c>
      <c r="B50" s="5" t="s">
        <v>282</v>
      </c>
      <c r="C50" s="5" t="s">
        <v>283</v>
      </c>
      <c r="D50" s="5" t="s">
        <v>27</v>
      </c>
      <c r="E50" s="5" t="s">
        <v>284</v>
      </c>
      <c r="F50" s="5" t="s">
        <v>285</v>
      </c>
      <c r="G50" s="6" t="s">
        <v>30</v>
      </c>
      <c r="H50" s="7" t="s">
        <v>31</v>
      </c>
      <c r="I50" s="5" t="s">
        <v>286</v>
      </c>
    </row>
    <row r="51" customFormat="false" ht="41.75" hidden="false" customHeight="false" outlineLevel="0" collapsed="false">
      <c r="A51" s="5" t="s">
        <v>287</v>
      </c>
      <c r="B51" s="5" t="s">
        <v>288</v>
      </c>
      <c r="C51" s="5" t="s">
        <v>289</v>
      </c>
      <c r="D51" s="5" t="s">
        <v>27</v>
      </c>
      <c r="E51" s="5" t="s">
        <v>290</v>
      </c>
      <c r="F51" s="5" t="s">
        <v>291</v>
      </c>
      <c r="G51" s="6" t="s">
        <v>30</v>
      </c>
      <c r="H51" s="7" t="s">
        <v>31</v>
      </c>
      <c r="I51" s="5" t="s">
        <v>292</v>
      </c>
    </row>
    <row r="52" customFormat="false" ht="55.2" hidden="false" customHeight="false" outlineLevel="0" collapsed="false">
      <c r="A52" s="5" t="s">
        <v>293</v>
      </c>
      <c r="B52" s="5" t="s">
        <v>294</v>
      </c>
      <c r="C52" s="5" t="s">
        <v>295</v>
      </c>
      <c r="D52" s="5" t="s">
        <v>27</v>
      </c>
      <c r="E52" s="5" t="s">
        <v>296</v>
      </c>
      <c r="F52" s="5" t="s">
        <v>297</v>
      </c>
      <c r="G52" s="6" t="s">
        <v>30</v>
      </c>
      <c r="H52" s="7" t="s">
        <v>31</v>
      </c>
      <c r="I52" s="5" t="s">
        <v>298</v>
      </c>
    </row>
    <row r="53" customFormat="false" ht="41.75" hidden="false" customHeight="false" outlineLevel="0" collapsed="false">
      <c r="A53" s="5" t="s">
        <v>299</v>
      </c>
      <c r="B53" s="5" t="s">
        <v>300</v>
      </c>
      <c r="C53" s="5" t="s">
        <v>301</v>
      </c>
      <c r="D53" s="5" t="s">
        <v>27</v>
      </c>
      <c r="E53" s="5" t="s">
        <v>302</v>
      </c>
      <c r="F53" s="5" t="s">
        <v>303</v>
      </c>
      <c r="G53" s="6" t="s">
        <v>30</v>
      </c>
      <c r="H53" s="8" t="s">
        <v>115</v>
      </c>
      <c r="I53" s="5" t="s">
        <v>304</v>
      </c>
    </row>
    <row r="54" customFormat="false" ht="41.75" hidden="false" customHeight="false" outlineLevel="0" collapsed="false">
      <c r="A54" s="5" t="s">
        <v>305</v>
      </c>
      <c r="B54" s="5" t="s">
        <v>306</v>
      </c>
      <c r="C54" s="5" t="s">
        <v>307</v>
      </c>
      <c r="D54" s="5" t="s">
        <v>27</v>
      </c>
      <c r="E54" s="5" t="s">
        <v>308</v>
      </c>
      <c r="F54" s="5" t="s">
        <v>309</v>
      </c>
      <c r="G54" s="9" t="s">
        <v>134</v>
      </c>
      <c r="H54" s="8" t="s">
        <v>115</v>
      </c>
      <c r="I54" s="5" t="s">
        <v>310</v>
      </c>
    </row>
    <row r="55" customFormat="false" ht="41.75" hidden="false" customHeight="false" outlineLevel="0" collapsed="false">
      <c r="A55" s="5" t="s">
        <v>311</v>
      </c>
      <c r="B55" s="5" t="s">
        <v>312</v>
      </c>
      <c r="C55" s="5" t="s">
        <v>313</v>
      </c>
      <c r="D55" s="5" t="s">
        <v>27</v>
      </c>
      <c r="E55" s="5" t="s">
        <v>314</v>
      </c>
      <c r="F55" s="5" t="s">
        <v>315</v>
      </c>
      <c r="G55" s="6" t="s">
        <v>30</v>
      </c>
      <c r="H55" s="8" t="s">
        <v>115</v>
      </c>
      <c r="I55" s="5" t="s">
        <v>316</v>
      </c>
    </row>
    <row r="56" customFormat="false" ht="41.75" hidden="false" customHeight="false" outlineLevel="0" collapsed="false">
      <c r="A56" s="5" t="s">
        <v>317</v>
      </c>
      <c r="B56" s="5" t="s">
        <v>318</v>
      </c>
      <c r="C56" s="5" t="s">
        <v>319</v>
      </c>
      <c r="D56" s="5" t="s">
        <v>27</v>
      </c>
      <c r="E56" s="5" t="s">
        <v>320</v>
      </c>
      <c r="F56" s="5" t="s">
        <v>321</v>
      </c>
      <c r="G56" s="6" t="s">
        <v>30</v>
      </c>
      <c r="H56" s="8" t="s">
        <v>115</v>
      </c>
      <c r="I56" s="5" t="s">
        <v>322</v>
      </c>
    </row>
    <row r="57" customFormat="false" ht="41.75" hidden="false" customHeight="false" outlineLevel="0" collapsed="false">
      <c r="A57" s="5" t="s">
        <v>323</v>
      </c>
      <c r="B57" s="5" t="s">
        <v>324</v>
      </c>
      <c r="C57" s="5" t="s">
        <v>325</v>
      </c>
      <c r="D57" s="5" t="s">
        <v>27</v>
      </c>
      <c r="E57" s="5" t="s">
        <v>326</v>
      </c>
      <c r="F57" s="5" t="s">
        <v>327</v>
      </c>
      <c r="G57" s="6" t="s">
        <v>30</v>
      </c>
      <c r="H57" s="8" t="s">
        <v>115</v>
      </c>
      <c r="I57" s="5" t="s">
        <v>328</v>
      </c>
    </row>
    <row r="60" customFormat="false" ht="15" hidden="false" customHeight="false" outlineLevel="0" collapsed="false">
      <c r="A60" s="11" t="s">
        <v>329</v>
      </c>
      <c r="B60" s="11"/>
      <c r="C60" s="11"/>
    </row>
    <row r="61" customFormat="false" ht="15" hidden="false" customHeight="false" outlineLevel="0" collapsed="false">
      <c r="A61" s="3" t="s">
        <v>330</v>
      </c>
      <c r="B61" s="2" t="n">
        <f aca="false">COUNTA(A10:A57)</f>
        <v>48</v>
      </c>
    </row>
    <row r="62" customFormat="false" ht="15" hidden="false" customHeight="false" outlineLevel="0" collapsed="false">
      <c r="A62" s="3" t="s">
        <v>331</v>
      </c>
      <c r="B62" s="2" t="n">
        <f aca="false">COUNTIF(H10:H57,"P0")</f>
        <v>26</v>
      </c>
    </row>
    <row r="63" customFormat="false" ht="15" hidden="false" customHeight="false" outlineLevel="0" collapsed="false">
      <c r="A63" s="3" t="s">
        <v>332</v>
      </c>
      <c r="B63" s="2" t="n">
        <f aca="false">COUNTIF(H10:H57,"P1")</f>
        <v>20</v>
      </c>
    </row>
    <row r="64" customFormat="false" ht="15" hidden="false" customHeight="false" outlineLevel="0" collapsed="false">
      <c r="A64" s="3" t="s">
        <v>333</v>
      </c>
      <c r="B64" s="2" t="n">
        <f aca="false">COUNTIF(H10:H57,"P2")</f>
        <v>2</v>
      </c>
    </row>
    <row r="65" customFormat="false" ht="15" hidden="false" customHeight="false" outlineLevel="0" collapsed="false">
      <c r="A65" s="3" t="s">
        <v>334</v>
      </c>
      <c r="B65" s="12" t="n">
        <f aca="false">COUNTIF(G10:G57,"Pass")</f>
        <v>39</v>
      </c>
    </row>
    <row r="66" customFormat="false" ht="15" hidden="false" customHeight="false" outlineLevel="0" collapsed="false">
      <c r="A66" s="3" t="s">
        <v>335</v>
      </c>
      <c r="B66" s="13" t="n">
        <f aca="false">COUNTIF(G10:G57,"Fail")</f>
        <v>9</v>
      </c>
    </row>
    <row r="67" customFormat="false" ht="15" hidden="false" customHeight="false" outlineLevel="0" collapsed="false">
      <c r="A67" s="3" t="s">
        <v>336</v>
      </c>
      <c r="B67" s="14" t="n">
        <f aca="false">COUNTIF(G10:G57,"Not Executed")</f>
        <v>0</v>
      </c>
    </row>
    <row r="68" customFormat="false" ht="15" hidden="false" customHeight="false" outlineLevel="0" collapsed="false">
      <c r="A68" s="3" t="s">
        <v>337</v>
      </c>
      <c r="B68" s="0" t="str">
        <f aca="false">ROUND(B65/B61*100,1)&amp;"%"</f>
        <v>81.3%</v>
      </c>
    </row>
  </sheetData>
  <mergeCells count="1">
    <mergeCell ref="A60:C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2026-03-11T13:49:20Z</dcterms:created>
  <dc:creator>openpyxl</dc:creator>
  <dc:description/>
  <dc:language>en-US</dc:language>
  <cp:lastModifiedBy/>
  <dcterms:modified xsi:type="dcterms:W3CDTF">2026-03-13T12:50:23Z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